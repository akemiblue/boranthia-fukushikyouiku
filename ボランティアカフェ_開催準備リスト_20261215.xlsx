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使い方" sheetId="1" state="visible" r:id="rId1"/>
    <sheet xmlns:r="http://schemas.openxmlformats.org/officeDocument/2006/relationships" name="当日の流れ" sheetId="2" state="visible" r:id="rId2"/>
    <sheet xmlns:r="http://schemas.openxmlformats.org/officeDocument/2006/relationships" name="準備リスト" sheetId="3" state="visible" r:id="rId3"/>
    <sheet xmlns:r="http://schemas.openxmlformats.org/officeDocument/2006/relationships" name="逆算スケジュール" sheetId="4" state="visible" r:id="rId4"/>
    <sheet xmlns:r="http://schemas.openxmlformats.org/officeDocument/2006/relationships" name="予算50,000円" sheetId="5" state="visible" r:id="rId5"/>
    <sheet xmlns:r="http://schemas.openxmlformats.org/officeDocument/2006/relationships" name="グラフ" sheetId="6" state="visible" r:id="rId6"/>
  </sheets>
  <definedNames>
    <definedName name="_xlnm.Print_Titles" localSheetId="1">'当日の流れ'!$4:$4</definedName>
    <definedName name="_xlnm._FilterDatabase" localSheetId="2" hidden="1">'準備リスト'!$A$4:$K$119</definedName>
    <definedName name="_xlnm.Print_Titles" localSheetId="2">'準備リスト'!$4:$4</definedName>
    <definedName name="_xlnm.Print_Titles" localSheetId="3">'逆算スケジュール'!$4:$4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yyyy&quot;年&quot;m&quot;月&quot;d&quot;日&quot;"/>
    <numFmt numFmtId="165" formatCode="yyyy-mm-dd"/>
    <numFmt numFmtId="166" formatCode="m/d"/>
    <numFmt numFmtId="167" formatCode="m&quot;月&quot;d&quot;日&quot;"/>
    <numFmt numFmtId="168" formatCode="#,##0&quot;円&quot;"/>
    <numFmt numFmtId="169" formatCode="0&quot;人&quot;"/>
  </numFmts>
  <fonts count="24">
    <font>
      <name val="Calibri"/>
      <family val="2"/>
      <color theme="1"/>
      <sz val="11"/>
      <scheme val="minor"/>
    </font>
    <font>
      <name val="游ゴシック"/>
      <b val="1"/>
      <color rgb="FF22302A"/>
      <sz val="16"/>
    </font>
    <font>
      <name val="游ゴシック"/>
      <color rgb="FF5A6A61"/>
      <sz val="10"/>
    </font>
    <font>
      <name val="游ゴシック"/>
      <b val="1"/>
      <color rgb="FF8A5A2B"/>
      <sz val="11"/>
    </font>
    <font>
      <name val="游ゴシック"/>
      <b val="1"/>
      <color rgb="FF5A6A61"/>
      <sz val="10"/>
    </font>
    <font>
      <name val="游ゴシック"/>
      <b val="1"/>
      <color rgb="FF22302A"/>
      <sz val="11"/>
    </font>
    <font>
      <name val="游ゴシック"/>
      <color rgb="FF8A5A2B"/>
      <sz val="9"/>
    </font>
    <font>
      <name val="游ゴシック"/>
      <color rgb="FF2E7D5B"/>
      <sz val="9"/>
    </font>
    <font>
      <name val="游ゴシック"/>
      <color rgb="FF22302A"/>
      <sz val="10"/>
    </font>
    <font>
      <name val="游ゴシック"/>
      <b val="1"/>
      <color rgb="FFFFFFFF"/>
      <sz val="9"/>
    </font>
    <font>
      <name val="游ゴシック"/>
      <b val="1"/>
      <color rgb="FF8A6D0B"/>
      <sz val="11"/>
    </font>
    <font>
      <name val="游ゴシック"/>
      <color rgb="FF86958C"/>
      <sz val="9"/>
    </font>
    <font>
      <name val="游ゴシック"/>
      <b val="1"/>
      <color rgb="FF22302A"/>
      <sz val="14"/>
    </font>
    <font>
      <name val="游ゴシック"/>
      <color rgb="FF5A6A61"/>
      <sz val="9"/>
    </font>
    <font>
      <name val="游ゴシック"/>
      <b val="1"/>
      <color rgb="FFFFFFFF"/>
      <sz val="10"/>
    </font>
    <font>
      <name val="游ゴシック"/>
      <b val="1"/>
      <color rgb="FF22302A"/>
      <sz val="10"/>
    </font>
    <font>
      <name val="游ゴシック"/>
      <b val="1"/>
      <color rgb="FF5A6A61"/>
      <sz val="9"/>
    </font>
    <font>
      <name val="游ゴシック"/>
      <b val="1"/>
      <color rgb="FF8A5A2B"/>
      <sz val="9"/>
    </font>
    <font>
      <name val="游ゴシック"/>
      <color rgb="FF8A6D0B"/>
      <sz val="9"/>
    </font>
    <font>
      <name val="游ゴシック"/>
      <b val="1"/>
      <color rgb="FF8A5A2B"/>
      <sz val="10"/>
    </font>
    <font>
      <name val="游ゴシック"/>
      <b val="1"/>
      <color rgb="FF8A5A2B"/>
      <sz val="12"/>
    </font>
    <font>
      <name val="游ゴシック"/>
      <b val="1"/>
      <color rgb="FF22302A"/>
      <sz val="12"/>
    </font>
    <font>
      <name val="游ゴシック"/>
      <b val="1"/>
      <color rgb="FF2E7D5B"/>
      <sz val="12"/>
    </font>
    <font>
      <name val="游ゴシック"/>
      <b val="1"/>
      <color rgb="FF2E7D5B"/>
      <sz val="11"/>
    </font>
  </fonts>
  <fills count="7">
    <fill>
      <patternFill/>
    </fill>
    <fill>
      <patternFill patternType="gray125"/>
    </fill>
    <fill>
      <patternFill patternType="solid">
        <fgColor rgb="FFEBEFE7"/>
      </patternFill>
    </fill>
    <fill>
      <patternFill patternType="solid">
        <fgColor rgb="FFE6F1EA"/>
      </patternFill>
    </fill>
    <fill>
      <patternFill patternType="solid">
        <fgColor rgb="FFFFF8DC"/>
      </patternFill>
    </fill>
    <fill>
      <patternFill patternType="solid">
        <fgColor rgb="FF22302A"/>
      </patternFill>
    </fill>
    <fill>
      <patternFill patternType="solid">
        <fgColor rgb="FFF7EFD7"/>
      </patternFill>
    </fill>
  </fills>
  <borders count="7">
    <border>
      <left/>
      <right/>
      <top/>
      <bottom/>
      <diagonal/>
    </border>
    <border>
      <left style="thin">
        <color rgb="FFD9E0D4"/>
      </left>
      <right style="thin">
        <color rgb="FFD9E0D4"/>
      </right>
      <top style="thin">
        <color rgb="FFD9E0D4"/>
      </top>
      <bottom style="thin">
        <color rgb="FFD9E0D4"/>
      </bottom>
    </border>
    <border>
      <left/>
      <right/>
      <top style="thin">
        <color rgb="FFD9E0D4"/>
      </top>
      <bottom/>
      <diagonal/>
    </border>
    <border>
      <left/>
      <right style="thin">
        <color rgb="FFD9E0D4"/>
      </right>
      <top style="thin">
        <color rgb="FFD9E0D4"/>
      </top>
      <bottom/>
      <diagonal/>
    </border>
    <border>
      <left/>
      <right/>
      <top style="thin">
        <color rgb="FFD9E0D4"/>
      </top>
      <bottom style="thin">
        <color rgb="FFD9E0D4"/>
      </bottom>
      <diagonal/>
    </border>
    <border>
      <left/>
      <right style="thin">
        <color rgb="FFD9E0D4"/>
      </right>
      <top style="thin">
        <color rgb="FFD9E0D4"/>
      </top>
      <bottom style="thin">
        <color rgb="FFD9E0D4"/>
      </bottom>
      <diagonal/>
    </border>
    <border>
      <left style="thin">
        <color rgb="FFD9E0D4"/>
      </left>
      <right style="thin">
        <color rgb="FFD9E0D4"/>
      </right>
      <top style="medium">
        <color rgb="FF22302A"/>
      </top>
      <bottom style="medium">
        <color rgb="FF22302A"/>
      </bottom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0" borderId="0" applyAlignment="1" pivotButton="0" quotePrefix="0" xfId="0">
      <alignment horizontal="left" vertical="top"/>
    </xf>
    <xf numFmtId="0" fontId="2" fillId="0" borderId="0" applyAlignment="1" pivotButton="0" quotePrefix="0" xfId="0">
      <alignment horizontal="left" vertical="top"/>
    </xf>
    <xf numFmtId="0" fontId="3" fillId="0" borderId="0" applyAlignment="1" pivotButton="0" quotePrefix="0" xfId="0">
      <alignment horizontal="left" vertical="top"/>
    </xf>
    <xf numFmtId="0" fontId="4" fillId="2" borderId="1" applyAlignment="1" pivotButton="0" quotePrefix="0" xfId="0">
      <alignment horizontal="left" vertical="top"/>
    </xf>
    <xf numFmtId="164" fontId="5" fillId="4" borderId="1" applyAlignment="1" pivotButton="0" quotePrefix="0" xfId="0">
      <alignment horizontal="left" vertical="top"/>
    </xf>
    <xf numFmtId="0" fontId="6" fillId="0" borderId="0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left" vertical="top"/>
    </xf>
    <xf numFmtId="0" fontId="8" fillId="0" borderId="1" applyAlignment="1" pivotButton="0" quotePrefix="0" xfId="0">
      <alignment horizontal="left" vertical="top" wrapText="1"/>
    </xf>
    <xf numFmtId="0" fontId="0" fillId="0" borderId="4" pivotButton="0" quotePrefix="0" xfId="0"/>
    <xf numFmtId="0" fontId="0" fillId="0" borderId="5" pivotButton="0" quotePrefix="0" xfId="0"/>
    <xf numFmtId="0" fontId="9" fillId="5" borderId="1" applyAlignment="1" pivotButton="0" quotePrefix="0" xfId="0">
      <alignment horizontal="center" vertical="top"/>
    </xf>
    <xf numFmtId="166" fontId="8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left" vertical="top" wrapText="1"/>
    </xf>
    <xf numFmtId="166" fontId="8" fillId="4" borderId="1" applyAlignment="1" pivotButton="0" quotePrefix="0" xfId="0">
      <alignment horizontal="left" vertical="top" wrapText="1"/>
    </xf>
    <xf numFmtId="0" fontId="10" fillId="0" borderId="0" applyAlignment="1" pivotButton="0" quotePrefix="0" xfId="0">
      <alignment horizontal="left" vertical="top"/>
    </xf>
    <xf numFmtId="0" fontId="11" fillId="0" borderId="0" applyAlignment="1" pivotButton="0" quotePrefix="0" xfId="0">
      <alignment horizontal="left" vertical="top" wrapText="1"/>
    </xf>
    <xf numFmtId="0" fontId="12" fillId="0" borderId="0" applyAlignment="1" pivotButton="0" quotePrefix="0" xfId="0">
      <alignment horizontal="left" vertical="top"/>
    </xf>
    <xf numFmtId="0" fontId="13" fillId="0" borderId="0" applyAlignment="1" pivotButton="0" quotePrefix="0" xfId="0">
      <alignment horizontal="left" vertical="top"/>
    </xf>
    <xf numFmtId="0" fontId="14" fillId="5" borderId="6" applyAlignment="1" pivotButton="0" quotePrefix="0" xfId="0">
      <alignment horizontal="center" vertical="center"/>
    </xf>
    <xf numFmtId="0" fontId="3" fillId="2" borderId="1" applyAlignment="1" pivotButton="0" quotePrefix="0" xfId="0">
      <alignment horizontal="left" vertical="top"/>
    </xf>
    <xf numFmtId="0" fontId="8" fillId="2" borderId="1" applyAlignment="1" pivotButton="0" quotePrefix="0" xfId="0">
      <alignment horizontal="left" vertical="top"/>
    </xf>
    <xf numFmtId="0" fontId="5" fillId="0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left" vertical="top" wrapText="1"/>
    </xf>
    <xf numFmtId="0" fontId="13" fillId="0" borderId="1" applyAlignment="1" pivotButton="0" quotePrefix="0" xfId="0">
      <alignment horizontal="left" vertical="top" wrapText="1"/>
    </xf>
    <xf numFmtId="0" fontId="8" fillId="4" borderId="1" applyAlignment="1" pivotButton="0" quotePrefix="0" xfId="0">
      <alignment horizontal="center" vertical="top"/>
    </xf>
    <xf numFmtId="0" fontId="11" fillId="0" borderId="0" applyAlignment="1" pivotButton="0" quotePrefix="0" xfId="0">
      <alignment vertical="top" wrapText="1"/>
    </xf>
    <xf numFmtId="0" fontId="16" fillId="2" borderId="1" applyAlignment="1" pivotButton="0" quotePrefix="0" xfId="0">
      <alignment horizontal="right" vertical="top"/>
    </xf>
    <xf numFmtId="0" fontId="3" fillId="2" borderId="1" applyAlignment="1" pivotButton="0" quotePrefix="0" xfId="0">
      <alignment horizontal="center" vertical="top"/>
    </xf>
    <xf numFmtId="0" fontId="11" fillId="0" borderId="0" applyAlignment="1" pivotButton="0" quotePrefix="0" xfId="0">
      <alignment horizontal="left" vertical="top"/>
    </xf>
    <xf numFmtId="0" fontId="11" fillId="0" borderId="1" applyAlignment="1" pivotButton="0" quotePrefix="0" xfId="0">
      <alignment horizontal="center" vertical="top"/>
    </xf>
    <xf numFmtId="166" fontId="15" fillId="0" borderId="1" applyAlignment="1" pivotButton="0" quotePrefix="0" xfId="0">
      <alignment horizontal="center" vertical="top"/>
    </xf>
    <xf numFmtId="0" fontId="13" fillId="0" borderId="1" applyAlignment="1" pivotButton="0" quotePrefix="0" xfId="0">
      <alignment horizontal="center" vertical="top"/>
    </xf>
    <xf numFmtId="0" fontId="17" fillId="0" borderId="1" applyAlignment="1" pivotButton="0" quotePrefix="0" xfId="0">
      <alignment horizontal="center" vertical="top"/>
    </xf>
    <xf numFmtId="166" fontId="8" fillId="4" borderId="1" applyAlignment="1" pivotButton="0" quotePrefix="0" xfId="0">
      <alignment horizontal="center" vertical="top"/>
    </xf>
    <xf numFmtId="0" fontId="18" fillId="4" borderId="1" applyAlignment="1" pivotButton="0" quotePrefix="0" xfId="0">
      <alignment horizontal="left" vertical="top" wrapText="1"/>
    </xf>
    <xf numFmtId="167" fontId="15" fillId="0" borderId="1" applyAlignment="1" pivotButton="0" quotePrefix="0" xfId="0">
      <alignment horizontal="center" vertical="top"/>
    </xf>
    <xf numFmtId="0" fontId="19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1" applyAlignment="1" pivotButton="0" quotePrefix="0" xfId="0">
      <alignment horizontal="center" vertical="top"/>
    </xf>
    <xf numFmtId="0" fontId="18" fillId="6" borderId="1" applyAlignment="1" pivotButton="0" quotePrefix="0" xfId="0">
      <alignment horizontal="left" vertical="top" wrapText="1"/>
    </xf>
    <xf numFmtId="0" fontId="18" fillId="0" borderId="1" applyAlignment="1" pivotButton="0" quotePrefix="0" xfId="0">
      <alignment horizontal="left" vertical="top" wrapText="1"/>
    </xf>
    <xf numFmtId="0" fontId="15" fillId="2" borderId="1" applyAlignment="1" pivotButton="0" quotePrefix="0" xfId="0">
      <alignment horizontal="right" vertical="top"/>
    </xf>
    <xf numFmtId="0" fontId="5" fillId="2" borderId="1" applyAlignment="1" pivotButton="0" quotePrefix="0" xfId="0">
      <alignment horizontal="center" vertical="top"/>
    </xf>
    <xf numFmtId="168" fontId="20" fillId="4" borderId="1" applyAlignment="1" pivotButton="0" quotePrefix="0" xfId="0">
      <alignment horizontal="left" vertical="top"/>
    </xf>
    <xf numFmtId="0" fontId="7" fillId="0" borderId="0" applyAlignment="1" pivotButton="0" quotePrefix="0" xfId="0">
      <alignment horizontal="left" vertical="top"/>
    </xf>
    <xf numFmtId="169" fontId="21" fillId="4" borderId="1" applyAlignment="1" pivotButton="0" quotePrefix="0" xfId="0">
      <alignment horizontal="left" vertical="top"/>
    </xf>
    <xf numFmtId="3" fontId="8" fillId="4" borderId="1" applyAlignment="1" pivotButton="0" quotePrefix="0" xfId="0">
      <alignment horizontal="right" vertical="top"/>
    </xf>
    <xf numFmtId="168" fontId="5" fillId="0" borderId="1" applyAlignment="1" pivotButton="0" quotePrefix="0" xfId="0">
      <alignment horizontal="right" vertical="top"/>
    </xf>
    <xf numFmtId="0" fontId="11" fillId="0" borderId="1" applyAlignment="1" pivotButton="0" quotePrefix="0" xfId="0">
      <alignment horizontal="left" vertical="top" wrapText="1"/>
    </xf>
    <xf numFmtId="0" fontId="5" fillId="2" borderId="1" applyAlignment="1" pivotButton="0" quotePrefix="0" xfId="0">
      <alignment horizontal="right" vertical="top"/>
    </xf>
    <xf numFmtId="168" fontId="21" fillId="2" borderId="1" applyAlignment="1" pivotButton="0" quotePrefix="0" xfId="0">
      <alignment horizontal="right" vertical="top"/>
    </xf>
    <xf numFmtId="168" fontId="22" fillId="2" borderId="1" applyAlignment="1" pivotButton="0" quotePrefix="0" xfId="0">
      <alignment horizontal="right" vertical="top"/>
    </xf>
    <xf numFmtId="0" fontId="11" fillId="2" borderId="1" applyAlignment="1" pivotButton="0" quotePrefix="0" xfId="0">
      <alignment horizontal="left" vertical="top" wrapText="1"/>
    </xf>
    <xf numFmtId="0" fontId="14" fillId="5" borderId="1" applyAlignment="1" pivotButton="0" quotePrefix="0" xfId="0">
      <alignment horizontal="center" vertical="top"/>
    </xf>
    <xf numFmtId="0" fontId="15" fillId="0" borderId="1" applyAlignment="1" pivotButton="0" quotePrefix="0" xfId="0">
      <alignment horizontal="center" vertical="top"/>
    </xf>
    <xf numFmtId="0" fontId="8" fillId="0" borderId="1" applyAlignment="1" pivotButton="0" quotePrefix="0" xfId="0">
      <alignment horizontal="left" vertical="top"/>
    </xf>
    <xf numFmtId="0" fontId="5" fillId="2" borderId="1" applyAlignment="1" pivotButton="0" quotePrefix="0" xfId="0">
      <alignment horizontal="left" vertical="top"/>
    </xf>
    <xf numFmtId="0" fontId="23" fillId="2" borderId="1" applyAlignment="1" pivotButton="0" quotePrefix="0" xfId="0">
      <alignment horizontal="center" vertical="top"/>
    </xf>
    <xf numFmtId="9" fontId="23" fillId="2" borderId="1" applyAlignment="1" pivotButton="0" quotePrefix="0" xfId="0">
      <alignment horizontal="center" vertical="top"/>
    </xf>
  </cellXfs>
  <cellStyles count="1">
    <cellStyle name="Normal" xfId="0" builtinId="0" hidden="0"/>
  </cellStyles>
  <dxfs count="3">
    <dxf>
      <font>
        <name val="游ゴシック"/>
        <color rgb="FFB03A16"/>
        <sz val="10"/>
      </font>
      <fill>
        <patternFill patternType="solid">
          <fgColor rgb="FFFBE4DC"/>
        </patternFill>
      </fill>
    </dxf>
    <dxf>
      <font>
        <name val="游ゴシック"/>
        <color rgb="FFA9B7AE"/>
        <sz val="10"/>
      </font>
      <fill>
        <patternFill patternType="solid">
          <fgColor rgb="FFF0F2EE"/>
        </patternFill>
      </fill>
    </dxf>
    <dxf>
      <font>
        <name val="游ゴシック"/>
        <b val="1"/>
        <color rgb="FFB03A16"/>
        <sz val="12"/>
      </font>
      <fill>
        <patternFill patternType="solid">
          <fgColor rgb="FFFBE4D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時期ごとの件数（締切の早い順）</a:t>
            </a:r>
          </a:p>
        </rich>
      </tx>
    </title>
    <plotArea>
      <barChart>
        <barDir val="col"/>
        <grouping val="stacked"/>
        <ser>
          <idx val="0"/>
          <order val="0"/>
          <tx>
            <strRef>
              <f>'グラフ'!B4</f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'グラフ'!$A$5:$A$20</f>
            </numRef>
          </cat>
          <val>
            <numRef>
              <f>'グラフ'!$B$5:$B$20</f>
            </numRef>
          </val>
        </ser>
        <ser>
          <idx val="1"/>
          <order val="1"/>
          <tx>
            <strRef>
              <f>'グラフ'!C4</f>
            </strRef>
          </tx>
          <spPr>
            <a:solidFill xmlns:a="http://schemas.openxmlformats.org/drawingml/2006/main">
              <a:srgbClr val="C3D3C6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'グラフ'!$A$5:$A$20</f>
            </numRef>
          </cat>
          <val>
            <numRef>
              <f>'グラフ'!$C$5:$C$20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分野ごとの件数</a:t>
            </a:r>
          </a:p>
        </rich>
      </tx>
    </title>
    <plotArea>
      <barChart>
        <barDir val="bar"/>
        <grouping val="stacked"/>
        <ser>
          <idx val="0"/>
          <order val="0"/>
          <tx>
            <strRef>
              <f>'グラフ'!G4</f>
            </strRef>
          </tx>
          <spPr>
            <a:solidFill xmlns:a="http://schemas.openxmlformats.org/drawingml/2006/main">
              <a:srgbClr val="2E7D5B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'グラフ'!$F$5:$F$15</f>
            </numRef>
          </cat>
          <val>
            <numRef>
              <f>'グラフ'!$G$5:$G$15</f>
            </numRef>
          </val>
        </ser>
        <ser>
          <idx val="1"/>
          <order val="1"/>
          <tx>
            <strRef>
              <f>'グラフ'!H4</f>
            </strRef>
          </tx>
          <spPr>
            <a:solidFill xmlns:a="http://schemas.openxmlformats.org/drawingml/2006/main">
              <a:srgbClr val="C3D3C6"/>
            </a:solidFill>
            <a:ln xmlns:a="http://schemas.openxmlformats.org/drawingml/2006/main">
              <a:noFill/>
              <a:prstDash val="solid"/>
            </a:ln>
          </spPr>
          <cat>
            <numRef>
              <f>'グラフ'!$F$5:$F$15</f>
            </numRef>
          </cat>
          <val>
            <numRef>
              <f>'グラフ'!$H$5:$H$15</f>
            </numRef>
          </val>
        </ser>
        <gapWidth val="60"/>
        <overlap val="10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件数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omments/comment1.xml><?xml version="1.0" encoding="utf-8"?>
<comments xmlns="http://schemas.openxmlformats.org/spreadsheetml/2006/main">
  <authors>
    <author>社協</author>
  </authors>
  <commentList>
    <comment ref="B5" authorId="0" shapeId="0">
      <text>
        <t>この日付を書き換えると、「準備リスト」と「逆算スケジュール」の
締切日がすべて自動で計算し直されます。手で直す必要はありません。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0</col>
      <colOff>0</colOff>
      <row>21</row>
      <rowOff>0</rowOff>
    </from>
    <ext cx="9360000" cy="34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0</col>
      <colOff>0</colOff>
      <row>41</row>
      <rowOff>0</rowOff>
    </from>
    <ext cx="9360000" cy="342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30" customWidth="1" min="2" max="2"/>
    <col width="44" customWidth="1" min="3" max="3"/>
    <col width="26" customWidth="1" min="4" max="4"/>
    <col width="22" customWidth="1" min="5" max="5"/>
  </cols>
  <sheetData>
    <row r="1">
      <c r="A1" s="1" t="inlineStr">
        <is>
          <t>ボランティアカフェ　第1回　開催準備リスト</t>
        </is>
      </c>
    </row>
    <row r="2">
      <c r="A2" s="2" t="inlineStr">
        <is>
          <t>大郷町社会福祉協議会　ボランティアセンター事業</t>
        </is>
      </c>
    </row>
    <row r="4">
      <c r="A4" s="3" t="inlineStr">
        <is>
          <t>開催の予定（2026年9月2日時点で確定しているもの）</t>
        </is>
      </c>
    </row>
    <row r="5">
      <c r="A5" s="4" t="inlineStr">
        <is>
          <t>開催日</t>
        </is>
      </c>
      <c r="B5" s="5" t="n">
        <v>46371</v>
      </c>
      <c r="C5" s="6" t="inlineStr">
        <is>
          <t>← ここを直すと、全部の締切日が動きます</t>
        </is>
      </c>
    </row>
    <row r="6">
      <c r="A6" s="4" t="inlineStr">
        <is>
          <t>曜日</t>
        </is>
      </c>
      <c r="B6" s="7">
        <f>CHOOSE(WEEKDAY(B5),"日曜日","月曜日","火曜日","水曜日","木曜日","金曜日","土曜日")</f>
        <v/>
      </c>
      <c r="C6" s="8" t="inlineStr">
        <is>
          <t>緑のセル＝9/2時点で決まっていること</t>
        </is>
      </c>
    </row>
    <row r="7">
      <c r="A7" s="4" t="inlineStr">
        <is>
          <t>会場</t>
        </is>
      </c>
      <c r="B7" s="9" t="inlineStr">
        <is>
          <t>粕川地区防災コミュニティーセンター</t>
        </is>
      </c>
    </row>
    <row r="8">
      <c r="A8" s="4" t="inlineStr">
        <is>
          <t>当日</t>
        </is>
      </c>
      <c r="B8" s="9" t="inlineStr">
        <is>
          <t>9:00 開場　9:30 スタート　12:00 終了</t>
        </is>
      </c>
    </row>
    <row r="9">
      <c r="A9" s="4" t="inlineStr">
        <is>
          <t>前日準備</t>
        </is>
      </c>
      <c r="B9" s="9" t="inlineStr">
        <is>
          <t>12月14日（月）15:00 〜</t>
        </is>
      </c>
    </row>
    <row r="10">
      <c r="A10" s="4" t="inlineStr">
        <is>
          <t>予算</t>
        </is>
      </c>
      <c r="B10" s="9" t="inlineStr">
        <is>
          <t>50,000円</t>
        </is>
      </c>
    </row>
    <row r="12">
      <c r="A12" s="3" t="inlineStr">
        <is>
          <t>シートの見方</t>
        </is>
      </c>
    </row>
    <row r="13" ht="16" customHeight="1">
      <c r="A13" s="10" t="inlineStr">
        <is>
          <t>・「当日の流れ」… 12/14の前日準備から、12/15の片付け・ふりかえりまでの時間割です。</t>
        </is>
      </c>
      <c r="B13" s="11" t="n"/>
      <c r="C13" s="11" t="n"/>
      <c r="D13" s="12" t="n"/>
    </row>
    <row r="14" ht="16" customHeight="1">
      <c r="A14" s="10" t="inlineStr">
        <is>
          <t>・「準備リスト」… やることを115項目、締切の早い順にならべています。</t>
        </is>
      </c>
      <c r="B14" s="11" t="n"/>
      <c r="C14" s="11" t="n"/>
      <c r="D14" s="12" t="n"/>
    </row>
    <row r="15" ht="16" customHeight="1">
      <c r="A15" s="10" t="inlineStr">
        <is>
          <t>・「逆算スケジュール」… いつ何件たまっているか。人手の山を先に見つけるために使います。</t>
        </is>
      </c>
      <c r="B15" s="11" t="n"/>
      <c r="C15" s="11" t="n"/>
      <c r="D15" s="12" t="n"/>
    </row>
    <row r="16" ht="16" customHeight="1">
      <c r="A16" s="10" t="inlineStr">
        <is>
          <t>・「グラフ」… 時期ごと・分野ごとの件数と、進み具合を絵で見るシートです。会議で使えます。</t>
        </is>
      </c>
      <c r="B16" s="11" t="n"/>
      <c r="C16" s="11" t="n"/>
      <c r="D16" s="12" t="n"/>
    </row>
    <row r="17" ht="16" customHeight="1">
      <c r="A17" s="10" t="inlineStr">
        <is>
          <t>・「予算50,000円」… 配分のたたき台です。単価と数量を入れ直せば、合計と残額が自動で出ます。</t>
        </is>
      </c>
      <c r="B17" s="11" t="n"/>
      <c r="C17" s="11" t="n"/>
      <c r="D17" s="12" t="n"/>
    </row>
    <row r="19">
      <c r="A19" s="3" t="inlineStr">
        <is>
          <t>書き込むところ</t>
        </is>
      </c>
    </row>
    <row r="20" ht="16" customHeight="1">
      <c r="A20" s="10" t="inlineStr">
        <is>
          <t>・書き込むのは【担当】【状況】【完了日】【備考】の4列だけです（うすい黄色の列）。ほかの列には計算式が入っています。</t>
        </is>
      </c>
      <c r="B20" s="11" t="n"/>
      <c r="C20" s="11" t="n"/>
      <c r="D20" s="12" t="n"/>
    </row>
    <row r="21" ht="16" customHeight="1">
      <c r="A21" s="10" t="inlineStr">
        <is>
          <t>・【状況】はセルを選ぶと「未着手／準備中／完了／対象外」から選べます。「完了」にすると、その行が灰色になります。</t>
        </is>
      </c>
      <c r="B21" s="11" t="n"/>
      <c r="C21" s="11" t="n"/>
      <c r="D21" s="12" t="n"/>
    </row>
    <row r="22" ht="16" customHeight="1">
      <c r="A22" s="10" t="inlineStr">
        <is>
          <t>・締切日を過ぎているのに完了していない行は、自動で赤くなります。会議のときは、そこだけ見てください。</t>
        </is>
      </c>
      <c r="B22" s="11" t="n"/>
      <c r="C22" s="11" t="n"/>
      <c r="D22" s="12" t="n"/>
    </row>
    <row r="24">
      <c r="A24" s="3" t="inlineStr">
        <is>
          <t>記入例（この形で書いてください）</t>
        </is>
      </c>
    </row>
    <row r="25">
      <c r="A25" s="13" t="inlineStr">
        <is>
          <t>締切日</t>
        </is>
      </c>
      <c r="B25" s="13" t="inlineStr">
        <is>
          <t>分類</t>
        </is>
      </c>
      <c r="C25" s="13" t="inlineStr">
        <is>
          <t>項目</t>
        </is>
      </c>
      <c r="D25" s="13" t="inlineStr">
        <is>
          <t>担当</t>
        </is>
      </c>
      <c r="E25" s="13" t="inlineStr">
        <is>
          <t>状況</t>
        </is>
      </c>
      <c r="F25" s="13" t="inlineStr">
        <is>
          <t>完了日</t>
        </is>
      </c>
      <c r="G25" s="13" t="inlineStr">
        <is>
          <t>備考</t>
        </is>
      </c>
    </row>
    <row r="26" ht="30" customHeight="1">
      <c r="A26" s="14" t="n">
        <v>46290</v>
      </c>
      <c r="B26" s="10" t="inlineStr">
        <is>
          <t>G 盆栽ボランティアの準備</t>
        </is>
      </c>
      <c r="C26" s="10" t="inlineStr">
        <is>
          <t>盆栽を教えてくれる方と打ち合わせる</t>
        </is>
      </c>
      <c r="D26" s="15" t="inlineStr">
        <is>
          <t>及川</t>
        </is>
      </c>
      <c r="E26" s="15" t="inlineStr">
        <is>
          <t>準備中</t>
        </is>
      </c>
      <c r="F26" s="16" t="n"/>
      <c r="G26" s="15" t="inlineStr">
        <is>
          <t>高橋文之さんに決定（9/4）</t>
        </is>
      </c>
    </row>
    <row r="28">
      <c r="A28" s="17" t="inlineStr">
        <is>
          <t>9月のうちに動くこと</t>
        </is>
      </c>
    </row>
    <row r="29" ht="28" customHeight="1">
      <c r="A29" s="10" t="inlineStr">
        <is>
          <t>・町広報への掲載を依頼する — 12月号の原稿締切は10月中〜下旬のことが多く、逆算の8週前では間に合わない可能性があります。まず締切日を確認してください。</t>
        </is>
      </c>
      <c r="B29" s="11" t="n"/>
      <c r="C29" s="11" t="n"/>
      <c r="D29" s="12" t="n"/>
    </row>
    <row r="30" ht="28" customHeight="1">
      <c r="A30" s="10" t="inlineStr">
        <is>
          <t>・チラシの原稿をつくる — 10月26日までに役場へ持っていく必要があるため、9月25日までに原稿を仕上げます。</t>
        </is>
      </c>
      <c r="B30" s="11" t="n"/>
      <c r="C30" s="11" t="n"/>
      <c r="D30" s="12" t="n"/>
    </row>
    <row r="31" ht="28" customHeight="1">
      <c r="A31" s="10" t="inlineStr">
        <is>
          <t>・盆栽の高橋文之さんと打ち合わせる — 何をどこまでやるか、当日の時間の使い方を9月25日までに相談します。</t>
        </is>
      </c>
      <c r="B31" s="11" t="n"/>
      <c r="C31" s="11" t="n"/>
      <c r="D31" s="12" t="n"/>
    </row>
    <row r="32" ht="28" customHeight="1">
      <c r="A32" s="10" t="inlineStr">
        <is>
          <t>・開催伺いの決裁を出す — 予算の執行がここから始まります。</t>
        </is>
      </c>
      <c r="B32" s="11" t="n"/>
      <c r="C32" s="11" t="n"/>
      <c r="D32" s="12" t="n"/>
    </row>
    <row r="34">
      <c r="A34" s="17" t="inlineStr">
        <is>
          <t>気をつけたい日</t>
        </is>
      </c>
    </row>
    <row r="35" ht="26" customHeight="1">
      <c r="A35" s="10" t="inlineStr">
        <is>
          <t>・9月25日（金）＝ チラシ原稿・盆栽の打ち合わせ・ふりかえりの問いの締切。10/26の役場提出から逆算した前倒し分です。</t>
        </is>
      </c>
      <c r="B35" s="11" t="n"/>
      <c r="C35" s="11" t="n"/>
      <c r="D35" s="12" t="n"/>
    </row>
    <row r="36" ht="26" customHeight="1">
      <c r="A36" s="10" t="inlineStr">
        <is>
          <t>・10月26日（月）＝ チラシを役場へ持っていく日。印刷はここまでに終わらせます。</t>
        </is>
      </c>
      <c r="B36" s="11" t="n"/>
      <c r="C36" s="11" t="n"/>
      <c r="D36" s="12" t="n"/>
    </row>
    <row r="37" ht="26" customHeight="1">
      <c r="A37" s="10" t="inlineStr">
        <is>
          <t>・11月3日（火）＝ 6週前 は文化の日です。この日に予定していた作業は、前後にずらしてください。</t>
        </is>
      </c>
      <c r="B37" s="11" t="n"/>
      <c r="C37" s="11" t="n"/>
      <c r="D37" s="12" t="n"/>
    </row>
    <row r="38" ht="26" customHeight="1">
      <c r="A38" s="10" t="inlineStr">
        <is>
          <t>・11月17日（火）＝ 4週前 までに、防災士の応援人数を確定します。自由見学のコーナー数がここで決まります。</t>
        </is>
      </c>
      <c r="B38" s="11" t="n"/>
      <c r="C38" s="11" t="n"/>
      <c r="D38" s="12" t="n"/>
    </row>
    <row r="39" ht="26" customHeight="1">
      <c r="A39" s="10" t="inlineStr">
        <is>
          <t>・12月14日（月）＝ 前日準備です。会場が午後から使えるか確認してください。</t>
        </is>
      </c>
      <c r="B39" s="11" t="n"/>
      <c r="C39" s="11" t="n"/>
      <c r="D39" s="12" t="n"/>
    </row>
    <row r="40" ht="26" customHeight="1">
      <c r="A40" s="10" t="inlineStr">
        <is>
          <t>・12月29日（火）＝ 年末で事務所が閉まっている可能性があります。事後の作業は12月28日までに終わる想定で。</t>
        </is>
      </c>
      <c r="B40" s="11" t="n"/>
      <c r="C40" s="11" t="n"/>
      <c r="D40" s="12" t="n"/>
    </row>
    <row r="42" ht="30" customHeight="1">
      <c r="A42" s="18" t="inlineStr">
        <is>
          <t>前提と出典：開催日・会場・時間割・予算50,000円は2026年9月2日、項目の削除と期限の変更・盆栽の高橋文之さん・防災士への応援依頼は2026年9月4日に、担当者から示された内容です。もとの96項目は「ボランティアカフェ 開催準備リスト」（volunteer-cafe-checklist.html）から起こし、確定したプログラムと9/4のご指示に合わせて増減しました。「9/25まで」「10/26まで」は開催日から81日前・50日前として計算しています。役場や広報の締切に合わせた外部の期限なので、開催日を動かすときは、この2つだけ実際の締切を確認し直してください。週数から日数への換算と、予算の配分案は、この表の作成時の設定です。</t>
        </is>
      </c>
    </row>
    <row r="43"/>
    <row r="44"/>
    <row r="45"/>
  </sheetData>
  <mergeCells count="19">
    <mergeCell ref="A17:D17"/>
    <mergeCell ref="A22:D22"/>
    <mergeCell ref="A35:D35"/>
    <mergeCell ref="A20:D20"/>
    <mergeCell ref="A38:D38"/>
    <mergeCell ref="A29:D29"/>
    <mergeCell ref="A13:D13"/>
    <mergeCell ref="A40:D40"/>
    <mergeCell ref="A31:D31"/>
    <mergeCell ref="A30:D30"/>
    <mergeCell ref="A39:D39"/>
    <mergeCell ref="A15:D15"/>
    <mergeCell ref="A36:D36"/>
    <mergeCell ref="A42:D45"/>
    <mergeCell ref="A16:D16"/>
    <mergeCell ref="A37:D37"/>
    <mergeCell ref="A21:D21"/>
    <mergeCell ref="A32:D32"/>
    <mergeCell ref="A14:D14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2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52" customWidth="1" min="3" max="3"/>
    <col width="34" customWidth="1" min="4" max="4"/>
    <col width="12" customWidth="1" min="5" max="5"/>
  </cols>
  <sheetData>
    <row r="1">
      <c r="A1" s="19" t="inlineStr">
        <is>
          <t>当日の流れ（12月14日 前日準備 〜 12月15日 開催）</t>
        </is>
      </c>
    </row>
    <row r="2">
      <c r="A2" s="20" t="inlineStr">
        <is>
          <t>会場：粕川地区防災コミュニティーセンター　／　9:00開場　9:30スタート　12:00終了</t>
        </is>
      </c>
    </row>
    <row r="4" ht="22" customHeight="1">
      <c r="A4" s="21" t="inlineStr">
        <is>
          <t>時刻</t>
        </is>
      </c>
      <c r="B4" s="21" t="inlineStr">
        <is>
          <t>場面</t>
        </is>
      </c>
      <c r="C4" s="21" t="inlineStr">
        <is>
          <t>することの中身</t>
        </is>
      </c>
      <c r="D4" s="21" t="inlineStr">
        <is>
          <t>持ちもの・道具</t>
        </is>
      </c>
      <c r="E4" s="21" t="inlineStr">
        <is>
          <t>担当</t>
        </is>
      </c>
    </row>
    <row r="5" ht="20" customHeight="1">
      <c r="A5" s="22" t="inlineStr">
        <is>
          <t>【12月14日（月）】前日準備</t>
        </is>
      </c>
      <c r="B5" s="23" t="n"/>
      <c r="C5" s="23" t="n"/>
      <c r="D5" s="23" t="n"/>
      <c r="E5" s="23" t="n"/>
    </row>
    <row r="6" ht="34" customHeight="1">
      <c r="A6" s="24" t="inlineStr">
        <is>
          <t>15:00</t>
        </is>
      </c>
      <c r="B6" s="25" t="inlineStr">
        <is>
          <t>会場に入る・机いすの配置</t>
        </is>
      </c>
      <c r="C6" s="26" t="inlineStr">
        <is>
          <t>レイアウト図のとおりに。受付／テーブル／講座の席／自由見学のコーナーを分ける</t>
        </is>
      </c>
      <c r="D6" s="26" t="inlineStr">
        <is>
          <t>レイアウト図、養生テープ</t>
        </is>
      </c>
      <c r="E6" s="27" t="n"/>
    </row>
    <row r="7" ht="34" customHeight="1">
      <c r="A7" s="24" t="inlineStr">
        <is>
          <t>15:30</t>
        </is>
      </c>
      <c r="B7" s="25" t="inlineStr">
        <is>
          <t>掲示物を貼る</t>
        </is>
      </c>
      <c r="C7" s="26" t="inlineStr">
        <is>
          <t>順路の矢印（外の道路からの1枚目がいちばん大事）、受付看板、本日の流れ、各コーナーの表示</t>
        </is>
      </c>
      <c r="D7" s="26" t="inlineStr">
        <is>
          <t>表示物一式、マスキングテープ</t>
        </is>
      </c>
      <c r="E7" s="27" t="n"/>
    </row>
    <row r="8" ht="34" customHeight="1">
      <c r="A8" s="24" t="inlineStr">
        <is>
          <t>16:00</t>
        </is>
      </c>
      <c r="B8" s="25" t="inlineStr">
        <is>
          <t>資機材の搬入・展示</t>
        </is>
      </c>
      <c r="C8" s="26" t="inlineStr">
        <is>
          <t>災ボラの資機材（スコップ、土のう袋、長靴、軍手、ヘルメット、一輪車）を見学コーナーに並べる</t>
        </is>
      </c>
      <c r="D8" s="26" t="inlineStr">
        <is>
          <t>資機材一式</t>
        </is>
      </c>
      <c r="E8" s="27" t="n"/>
    </row>
    <row r="9" ht="34" customHeight="1">
      <c r="A9" s="24" t="inlineStr">
        <is>
          <t>16:15</t>
        </is>
      </c>
      <c r="B9" s="25" t="inlineStr">
        <is>
          <t>盆栽・防災士のコーナーを確認</t>
        </is>
      </c>
      <c r="C9" s="26" t="inlineStr">
        <is>
          <t>高橋文之さんと防災士に、翌日の立ち位置と持ち場を伝える（前日に来られない場合は当日8:30に）</t>
        </is>
      </c>
      <c r="D9" s="26" t="inlineStr">
        <is>
          <t>レイアウト図</t>
        </is>
      </c>
      <c r="E9" s="27" t="n"/>
    </row>
    <row r="10" ht="34" customHeight="1">
      <c r="A10" s="24" t="inlineStr">
        <is>
          <t>16:30</t>
        </is>
      </c>
      <c r="B10" s="25" t="inlineStr">
        <is>
          <t>盆栽コーナーの下ごしらえ</t>
        </is>
      </c>
      <c r="C10" s="26" t="inlineStr">
        <is>
          <t>シートを敷き、材料と道具を並べる。土がこぼれてよい場所か最終確認</t>
        </is>
      </c>
      <c r="D10" s="26" t="inlineStr">
        <is>
          <t>苗・鉢・用土・道具・ブルーシート</t>
        </is>
      </c>
      <c r="E10" s="27" t="n"/>
    </row>
    <row r="11" ht="34" customHeight="1">
      <c r="A11" s="24" t="inlineStr">
        <is>
          <t>17:00</t>
        </is>
      </c>
      <c r="B11" s="25" t="inlineStr">
        <is>
          <t>給湯・受付の準備、明日の確認</t>
        </is>
      </c>
      <c r="C11" s="26" t="inlineStr">
        <is>
          <t>ポット、紙コップ、名札、参加者カード、記念品。翌朝の集合時刻と鍵を確認</t>
        </is>
      </c>
      <c r="D11" s="26" t="inlineStr">
        <is>
          <t>備品一式、参加者カード</t>
        </is>
      </c>
      <c r="E11" s="27" t="n"/>
    </row>
    <row r="12" ht="20" customHeight="1">
      <c r="A12" s="22" t="inlineStr">
        <is>
          <t>【12月15日（火）】当日</t>
        </is>
      </c>
      <c r="B12" s="23" t="n"/>
      <c r="C12" s="23" t="n"/>
      <c r="D12" s="23" t="n"/>
      <c r="E12" s="23" t="n"/>
    </row>
    <row r="13" ht="34" customHeight="1">
      <c r="A13" s="24" t="inlineStr">
        <is>
          <t>8:30</t>
        </is>
      </c>
      <c r="B13" s="25" t="inlineStr">
        <is>
          <t>職員集合・最終確認</t>
        </is>
      </c>
      <c r="C13" s="26" t="inlineStr">
        <is>
          <t>足りないものの買い出しはこの時間に。机いすの数を実際に数える</t>
        </is>
      </c>
      <c r="D13" s="26" t="inlineStr">
        <is>
          <t>積み込みリスト</t>
        </is>
      </c>
      <c r="E13" s="27" t="n"/>
    </row>
    <row r="14" ht="34" customHeight="1">
      <c r="A14" s="24" t="inlineStr">
        <is>
          <t>9:00</t>
        </is>
      </c>
      <c r="B14" s="25" t="inlineStr">
        <is>
          <t>開場・受付</t>
        </is>
      </c>
      <c r="C14" s="26" t="inlineStr">
        <is>
          <t>来た方から名札に呼ばれたい名前を書いてもらう。お茶を出す。早く来た方こそ、話しかける</t>
        </is>
      </c>
      <c r="D14" s="26" t="inlineStr">
        <is>
          <t>受付名簿、名札、サインペン、お茶</t>
        </is>
      </c>
      <c r="E14" s="27" t="n"/>
    </row>
    <row r="15" ht="34" customHeight="1">
      <c r="A15" s="24" t="inlineStr">
        <is>
          <t>9:30</t>
        </is>
      </c>
      <c r="B15" s="25" t="inlineStr">
        <is>
          <t>スタート・あいさつ</t>
        </is>
      </c>
      <c r="C15" s="26" t="inlineStr">
        <is>
          <t>本日の流れを説明。ひとこと自己紹介（名前＋お題ひとつ）。長く話さなくてよいと最初に伝える</t>
        </is>
      </c>
      <c r="D15" s="26" t="inlineStr">
        <is>
          <t>本日の流れ（掲示）</t>
        </is>
      </c>
      <c r="E15" s="27" t="n"/>
    </row>
    <row r="16" ht="34" customHeight="1">
      <c r="A16" s="24" t="inlineStr">
        <is>
          <t>10:00</t>
        </is>
      </c>
      <c r="B16" s="25" t="inlineStr">
        <is>
          <t>講座 前半「ボランティアとは」</t>
        </is>
      </c>
      <c r="C16" s="26" t="inlineStr">
        <is>
          <t>町でいま動いている活動を写真で紹介。「特別な人がするものではない」を伝える</t>
        </is>
      </c>
      <c r="D16" s="26" t="inlineStr">
        <is>
          <t>スライド、配布資料</t>
        </is>
      </c>
      <c r="E16" s="27" t="n"/>
    </row>
    <row r="17" ht="34" customHeight="1">
      <c r="A17" s="24" t="inlineStr">
        <is>
          <t>10:30</t>
        </is>
      </c>
      <c r="B17" s="25" t="inlineStr">
        <is>
          <t>講座 後半「災害ボランティアセンターの運営」</t>
        </is>
      </c>
      <c r="C17" s="26" t="inlineStr">
        <is>
          <t>大郷町で災害が起きたら、どこに、いつ立ち上がるか。受付→ニーズ→マッチング→送り出しの流れ。応援に来た防災士にも一言お願いする</t>
        </is>
      </c>
      <c r="D17" s="26" t="inlineStr">
        <is>
          <t>スライド、受付票、ニーズ票</t>
        </is>
      </c>
      <c r="E17" s="27" t="n"/>
    </row>
    <row r="18" ht="34" customHeight="1">
      <c r="A18" s="24" t="inlineStr">
        <is>
          <t>11:00</t>
        </is>
      </c>
      <c r="B18" s="25" t="inlineStr">
        <is>
          <t>自由見学（1）コーナーを回る</t>
        </is>
      </c>
      <c r="C18" s="26" t="inlineStr">
        <is>
          <t>災ボラの資機材展示／マッチング体験／町の活動紹介パネル／盆栽コーナー。資機材とマッチングは防災士に、盆栽は高橋文之さんに立ってもらう</t>
        </is>
      </c>
      <c r="D18" s="26" t="inlineStr">
        <is>
          <t>各コーナーの表示</t>
        </is>
      </c>
      <c r="E18" s="27" t="n"/>
    </row>
    <row r="19" ht="34" customHeight="1">
      <c r="A19" s="24" t="inlineStr">
        <is>
          <t>11:00</t>
        </is>
      </c>
      <c r="B19" s="25" t="inlineStr">
        <is>
          <t>自由見学（2）お茶と相談</t>
        </is>
      </c>
      <c r="C19" s="26" t="inlineStr">
        <is>
          <t>お茶を飲みながら話す時間。職員は進行せず、様子を見て記録する。はじめての方には必ず誰かがつく</t>
        </is>
      </c>
      <c r="D19" s="26" t="inlineStr">
        <is>
          <t>お茶、記録用紙</t>
        </is>
      </c>
      <c r="E19" s="27" t="n"/>
    </row>
    <row r="20" ht="34" customHeight="1">
      <c r="A20" s="24" t="inlineStr">
        <is>
          <t>11:40</t>
        </is>
      </c>
      <c r="B20" s="25" t="inlineStr">
        <is>
          <t>次の一歩の案内</t>
        </is>
      </c>
      <c r="C20" s="26" t="inlineStr">
        <is>
          <t>ボランティア登録・活動見学の申し込み。「やってみたいこと」「出られる曜日」を書いてもらう</t>
        </is>
      </c>
      <c r="D20" s="26" t="inlineStr">
        <is>
          <t>登録用紙、見学先リスト</t>
        </is>
      </c>
      <c r="E20" s="27" t="n"/>
    </row>
    <row r="21" ht="34" customHeight="1">
      <c r="A21" s="24" t="inlineStr">
        <is>
          <t>12:00</t>
        </is>
      </c>
      <c r="B21" s="25" t="inlineStr">
        <is>
          <t>終了・お見送り</t>
        </is>
      </c>
      <c r="C21" s="26" t="inlineStr">
        <is>
          <t>記念品と次回のご案内を渡す。出口で一人ずつ見送る</t>
        </is>
      </c>
      <c r="D21" s="26" t="inlineStr">
        <is>
          <t>記念品、次回チラシ</t>
        </is>
      </c>
      <c r="E21" s="27" t="n"/>
    </row>
    <row r="22" ht="34" customHeight="1">
      <c r="A22" s="24" t="inlineStr">
        <is>
          <t>12:00</t>
        </is>
      </c>
      <c r="B22" s="25" t="inlineStr">
        <is>
          <t>片付け</t>
        </is>
      </c>
      <c r="C22" s="26" t="inlineStr">
        <is>
          <t>資機材の積み込み、盆栽コーナーの清掃、掲示物の回収、ゴミの持ち帰り</t>
        </is>
      </c>
      <c r="D22" s="26" t="inlineStr">
        <is>
          <t>ほうき、ゴミ袋</t>
        </is>
      </c>
      <c r="E22" s="27" t="n"/>
    </row>
    <row r="23" ht="34" customHeight="1">
      <c r="A23" s="24" t="inlineStr">
        <is>
          <t>12:30</t>
        </is>
      </c>
      <c r="B23" s="25" t="inlineStr">
        <is>
          <t>ふりかえり（15分）</t>
        </is>
      </c>
      <c r="C23" s="26" t="inlineStr">
        <is>
          <t>参加者数、はじめて来た人、出た話題、気になった方、つないだ先。次回に変えることを1つだけ決める</t>
        </is>
      </c>
      <c r="D23" s="26" t="inlineStr">
        <is>
          <t>開催記録</t>
        </is>
      </c>
      <c r="E23" s="27" t="n"/>
    </row>
    <row r="25" ht="30" customHeight="1">
      <c r="A25" s="28" t="inlineStr">
        <is>
          <t>※ 9:30〜10:00 と 11:00〜12:00 の中身は、9/2時点で決まっている枠（10:00〜11:00 講座／11:00〜12:00 自由見学）に合わせた提案です。盆栽は自由見学のコーナーに置く想定で入れていますが、作業に30分以上かかる内容なら別の日に回すことも考えられます。【担当】の列は空けてあります。前日準備の2週間前までに埋めてください。</t>
        </is>
      </c>
    </row>
    <row r="26"/>
  </sheetData>
  <mergeCells count="3">
    <mergeCell ref="A25:E26"/>
    <mergeCell ref="A5:E5"/>
    <mergeCell ref="A12:E12"/>
  </mergeCell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119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5" customWidth="1" min="3" max="3"/>
    <col width="8" customWidth="1" min="4" max="4"/>
    <col width="20" customWidth="1" min="5" max="5"/>
    <col width="42" customWidth="1" min="6" max="6"/>
    <col width="52" customWidth="1" min="7" max="7"/>
    <col width="10" customWidth="1" min="8" max="8"/>
    <col width="9" customWidth="1" min="9" max="9"/>
    <col width="10" customWidth="1" min="10" max="10"/>
    <col width="30" customWidth="1" min="11" max="11"/>
  </cols>
  <sheetData>
    <row r="1">
      <c r="A1" s="19" t="inlineStr">
        <is>
          <t>ボランティアカフェ　第1回　準備リスト（開催日からの逆算）</t>
        </is>
      </c>
      <c r="F1" s="2">
        <f>"開催日："&amp;TEXT(使い方!B5,"yyyy年m月d日")&amp;"（"&amp;CHOOSE(WEEKDAY(使い方!B5),"日","月","火","水","木","金","土")&amp;"）　会場："&amp;使い方!B7</f>
        <v/>
      </c>
    </row>
    <row r="2">
      <c r="A2" s="29" t="inlineStr">
        <is>
          <t>項目数</t>
        </is>
      </c>
      <c r="B2" s="30">
        <f>COUNT($A$5:$A$200)</f>
        <v/>
      </c>
      <c r="C2" s="29" t="inlineStr">
        <is>
          <t>完了</t>
        </is>
      </c>
      <c r="D2" s="30">
        <f>COUNTIF($I$5:$I$200,"完了")</f>
        <v/>
      </c>
      <c r="E2" s="29" t="inlineStr">
        <is>
          <t>残り</t>
        </is>
      </c>
      <c r="F2" s="30">
        <f>B2-D2</f>
        <v/>
      </c>
      <c r="G2" s="29" t="inlineStr">
        <is>
          <t>締切ぎれ</t>
        </is>
      </c>
      <c r="H2" s="30">
        <f>SUMPRODUCT(($A$5:$A$200&lt;&gt;"")*($B$5:$B$200&lt;TODAY())*($I$5:$I$200&lt;&gt;"完了")*($I$5:$I$200&lt;&gt;"対象外"))</f>
        <v/>
      </c>
      <c r="I2" s="31" t="inlineStr">
        <is>
          <t>※「締切ぎれ」＝ 締切日を過ぎていて、まだ完了していない件数</t>
        </is>
      </c>
    </row>
    <row r="4" ht="22" customHeight="1">
      <c r="A4" s="21" t="inlineStr">
        <is>
          <t>No</t>
        </is>
      </c>
      <c r="B4" s="21" t="inlineStr">
        <is>
          <t>締切日</t>
        </is>
      </c>
      <c r="C4" s="21" t="inlineStr">
        <is>
          <t>曜</t>
        </is>
      </c>
      <c r="D4" s="21" t="inlineStr">
        <is>
          <t>時期</t>
        </is>
      </c>
      <c r="E4" s="21" t="inlineStr">
        <is>
          <t>分類</t>
        </is>
      </c>
      <c r="F4" s="21" t="inlineStr">
        <is>
          <t>項目</t>
        </is>
      </c>
      <c r="G4" s="21" t="inlineStr">
        <is>
          <t>補足・すすめ方</t>
        </is>
      </c>
      <c r="H4" s="21" t="inlineStr">
        <is>
          <t>担当</t>
        </is>
      </c>
      <c r="I4" s="21" t="inlineStr">
        <is>
          <t>状況</t>
        </is>
      </c>
      <c r="J4" s="21" t="inlineStr">
        <is>
          <t>完了日</t>
        </is>
      </c>
      <c r="K4" s="21" t="inlineStr">
        <is>
          <t>備考</t>
        </is>
      </c>
    </row>
    <row r="5" ht="30" customHeight="1">
      <c r="A5" s="32" t="n">
        <v>1</v>
      </c>
      <c r="B5" s="33">
        <f>使い方!$B$5-81</f>
        <v/>
      </c>
      <c r="C5" s="34">
        <f>CHOOSE(WEEKDAY(B5),"日","月","火","水","木","金","土")</f>
        <v/>
      </c>
      <c r="D5" s="35" t="inlineStr">
        <is>
          <t>9/25まで</t>
        </is>
      </c>
      <c r="E5" s="26" t="inlineStr">
        <is>
          <t>C チラシと広報</t>
        </is>
      </c>
      <c r="F5" s="10" t="inlineStr">
        <is>
          <t>チラシの原稿をつくる</t>
        </is>
      </c>
      <c r="G5" s="26" t="inlineStr">
        <is>
          <t>ロードマップの「住民のみなさんへ」の文面をそのまま使えます。盆栽と災ボラ体験のことも書き足す</t>
        </is>
      </c>
      <c r="H5" s="27" t="n"/>
      <c r="I5" s="27" t="inlineStr">
        <is>
          <t>未着手</t>
        </is>
      </c>
      <c r="J5" s="36" t="n"/>
      <c r="K5" s="37" t="inlineStr">
        <is>
          <t>10/26の役場提出から逆算して9/25まで</t>
        </is>
      </c>
    </row>
    <row r="6" ht="30" customHeight="1">
      <c r="A6" s="32" t="n">
        <v>2</v>
      </c>
      <c r="B6" s="33">
        <f>使い方!$B$5-81</f>
        <v/>
      </c>
      <c r="C6" s="34">
        <f>CHOOSE(WEEKDAY(B6),"日","月","火","水","木","金","土")</f>
        <v/>
      </c>
      <c r="D6" s="35" t="inlineStr">
        <is>
          <t>9/25まで</t>
        </is>
      </c>
      <c r="E6" s="26" t="inlineStr">
        <is>
          <t>G 盆栽ボランティアの準備</t>
        </is>
      </c>
      <c r="F6" s="10" t="inlineStr">
        <is>
          <t>盆栽を教えてくれる方と打ち合わせる</t>
        </is>
      </c>
      <c r="G6" s="26" t="inlineStr">
        <is>
          <t>高橋文之さんに決定（9/4）。何をどこまでやるか、当日の時間の使い方を相談する</t>
        </is>
      </c>
      <c r="H6" s="27" t="n"/>
      <c r="I6" s="27" t="inlineStr">
        <is>
          <t>準備中</t>
        </is>
      </c>
      <c r="J6" s="36" t="n"/>
      <c r="K6" s="37" t="inlineStr">
        <is>
          <t>高橋文之さんに決定（9/4）。お願いと打ち合わせはこれから</t>
        </is>
      </c>
    </row>
    <row r="7" ht="30" customHeight="1">
      <c r="A7" s="32" t="n">
        <v>3</v>
      </c>
      <c r="B7" s="33">
        <f>使い方!$B$5-81</f>
        <v/>
      </c>
      <c r="C7" s="34">
        <f>CHOOSE(WEEKDAY(B7),"日","月","火","水","木","金","土")</f>
        <v/>
      </c>
      <c r="D7" s="35" t="inlineStr">
        <is>
          <t>9/25まで</t>
        </is>
      </c>
      <c r="E7" s="26" t="inlineStr">
        <is>
          <t>H 災ボラ体験の資料</t>
        </is>
      </c>
      <c r="F7" s="10" t="inlineStr">
        <is>
          <t>ふりかえりの問いを決めておく</t>
        </is>
      </c>
      <c r="G7" s="26" t="inlineStr">
        <is>
          <t>「やってみて、いちばん難しかったのはどこですか」。ここで平時のつながりの話につなげます</t>
        </is>
      </c>
      <c r="H7" s="27" t="n"/>
      <c r="I7" s="27" t="inlineStr">
        <is>
          <t>未着手</t>
        </is>
      </c>
      <c r="J7" s="36" t="n"/>
      <c r="K7" s="37" t="inlineStr">
        <is>
          <t>9/25までに前倒し（9/4のご指示）</t>
        </is>
      </c>
    </row>
    <row r="8" ht="30" customHeight="1">
      <c r="A8" s="32" t="n">
        <v>4</v>
      </c>
      <c r="B8" s="33">
        <f>使い方!$B$5-56</f>
        <v/>
      </c>
      <c r="C8" s="34">
        <f>CHOOSE(WEEKDAY(B8),"日","月","火","水","木","金","土")</f>
        <v/>
      </c>
      <c r="D8" s="35" t="inlineStr">
        <is>
          <t>8週前</t>
        </is>
      </c>
      <c r="E8" s="26" t="inlineStr">
        <is>
          <t>A 会場をおさえる</t>
        </is>
      </c>
      <c r="F8" s="10" t="inlineStr">
        <is>
          <t>候補の会場を3か所、実際に見に行く</t>
        </is>
      </c>
      <c r="G8" s="26" t="inlineStr">
        <is>
          <t>駐車場／段差とスロープ／トイレ／お湯が使えるか／歩いて来られる人がいるか</t>
        </is>
      </c>
      <c r="H8" s="27" t="n"/>
      <c r="I8" s="27" t="inlineStr">
        <is>
          <t>未着手</t>
        </is>
      </c>
      <c r="J8" s="36" t="n"/>
      <c r="K8" s="37" t="n"/>
    </row>
    <row r="9" ht="30" customHeight="1">
      <c r="A9" s="32" t="n">
        <v>5</v>
      </c>
      <c r="B9" s="33">
        <f>使い方!$B$5-56</f>
        <v/>
      </c>
      <c r="C9" s="34">
        <f>CHOOSE(WEEKDAY(B9),"日","月","火","水","木","金","土")</f>
        <v/>
      </c>
      <c r="D9" s="35" t="inlineStr">
        <is>
          <t>8週前</t>
        </is>
      </c>
      <c r="E9" s="26" t="inlineStr">
        <is>
          <t>B 事務の手続き</t>
        </is>
      </c>
      <c r="F9" s="10" t="inlineStr">
        <is>
          <t>開催伺いの決裁をとる</t>
        </is>
      </c>
      <c r="G9" s="26" t="inlineStr">
        <is>
          <t>ロードマップの企画書を添えて。運営委員会にも報告</t>
        </is>
      </c>
      <c r="H9" s="27" t="n"/>
      <c r="I9" s="27" t="inlineStr">
        <is>
          <t>未着手</t>
        </is>
      </c>
      <c r="J9" s="36" t="n"/>
      <c r="K9" s="37" t="inlineStr">
        <is>
          <t>9月中に。予算執行はここから</t>
        </is>
      </c>
    </row>
    <row r="10" ht="30" customHeight="1">
      <c r="A10" s="32" t="n">
        <v>6</v>
      </c>
      <c r="B10" s="33">
        <f>使い方!$B$5-56</f>
        <v/>
      </c>
      <c r="C10" s="34">
        <f>CHOOSE(WEEKDAY(B10),"日","月","火","水","木","金","土")</f>
        <v/>
      </c>
      <c r="D10" s="35" t="inlineStr">
        <is>
          <t>8週前</t>
        </is>
      </c>
      <c r="E10" s="26" t="inlineStr">
        <is>
          <t>C チラシと広報</t>
        </is>
      </c>
      <c r="F10" s="10" t="inlineStr">
        <is>
          <t>町広報への掲載を依頼する</t>
        </is>
      </c>
      <c r="G10" s="26" t="inlineStr">
        <is>
          <t>原稿の締切が前月◯日など、かなり早いことがあります。まずこの締切を確認してから開催日を確定する</t>
        </is>
      </c>
      <c r="H10" s="27" t="n"/>
      <c r="I10" s="27" t="inlineStr">
        <is>
          <t>未着手</t>
        </is>
      </c>
      <c r="J10" s="36" t="n"/>
      <c r="K10" s="37" t="inlineStr">
        <is>
          <t>9月中に締切日を確認（12月号は10月中〜下旬締切のことが多い）</t>
        </is>
      </c>
    </row>
    <row r="11" ht="30" customHeight="1">
      <c r="A11" s="32" t="n">
        <v>7</v>
      </c>
      <c r="B11" s="33">
        <f>使い方!$B$5-50</f>
        <v/>
      </c>
      <c r="C11" s="34">
        <f>CHOOSE(WEEKDAY(B11),"日","月","火","水","木","金","土")</f>
        <v/>
      </c>
      <c r="D11" s="35" t="inlineStr">
        <is>
          <t>10/26まで</t>
        </is>
      </c>
      <c r="E11" s="26" t="inlineStr">
        <is>
          <t>C チラシと広報</t>
        </is>
      </c>
      <c r="F11" s="10" t="inlineStr">
        <is>
          <t>チラシを印刷する</t>
        </is>
      </c>
      <c r="G11" s="26" t="inlineStr">
        <is>
          <t>部数のめやす：回覧用＋窓口＋手渡し用＋掲示用。多めに刷って次回にも使えるよう、日付は刷り込みか別紙かを決める</t>
        </is>
      </c>
      <c r="H11" s="27" t="n"/>
      <c r="I11" s="27" t="inlineStr">
        <is>
          <t>未着手</t>
        </is>
      </c>
      <c r="J11" s="36" t="n"/>
      <c r="K11" s="37" t="inlineStr">
        <is>
          <t>10月26日までに役場へ持っていく。予算計上なし（社協内で印刷）</t>
        </is>
      </c>
    </row>
    <row r="12" ht="30" customHeight="1">
      <c r="A12" s="32" t="n">
        <v>8</v>
      </c>
      <c r="B12" s="33">
        <f>使い方!$B$5-49</f>
        <v/>
      </c>
      <c r="C12" s="34">
        <f>CHOOSE(WEEKDAY(B12),"日","月","火","水","木","金","土")</f>
        <v/>
      </c>
      <c r="D12" s="35" t="inlineStr">
        <is>
          <t>7週前</t>
        </is>
      </c>
      <c r="E12" s="26" t="inlineStr">
        <is>
          <t>A 会場をおさえる</t>
        </is>
      </c>
      <c r="F12" s="10" t="inlineStr">
        <is>
          <t>使用申請書を提出。使用料の有無と支払い方法を確認する</t>
        </is>
      </c>
      <c r="G12" s="26" t="n"/>
      <c r="H12" s="27" t="n"/>
      <c r="I12" s="27" t="inlineStr">
        <is>
          <t>未着手</t>
        </is>
      </c>
      <c r="J12" s="36" t="n"/>
      <c r="K12" s="37" t="n"/>
    </row>
    <row r="13" ht="30" customHeight="1">
      <c r="A13" s="32" t="n">
        <v>9</v>
      </c>
      <c r="B13" s="33">
        <f>使い方!$B$5-49</f>
        <v/>
      </c>
      <c r="C13" s="34">
        <f>CHOOSE(WEEKDAY(B13),"日","月","火","水","木","金","土")</f>
        <v/>
      </c>
      <c r="D13" s="35" t="inlineStr">
        <is>
          <t>7週前</t>
        </is>
      </c>
      <c r="E13" s="26" t="inlineStr">
        <is>
          <t>D 参加記念品</t>
        </is>
      </c>
      <c r="F13" s="10" t="inlineStr">
        <is>
          <t>見積をとり、発注する</t>
        </is>
      </c>
      <c r="G13" s="26" t="inlineStr">
        <is>
          <t>納期を確認。名入れをする場合はさらに2週間みる</t>
        </is>
      </c>
      <c r="H13" s="27" t="n"/>
      <c r="I13" s="27" t="inlineStr">
        <is>
          <t>未着手</t>
        </is>
      </c>
      <c r="J13" s="36" t="n"/>
      <c r="K13" s="37" t="inlineStr">
        <is>
          <t>7週前に前倒し（9/4のご指示）</t>
        </is>
      </c>
    </row>
    <row r="14" ht="30" customHeight="1">
      <c r="A14" s="32" t="n">
        <v>10</v>
      </c>
      <c r="B14" s="33">
        <f>使い方!$B$5-42</f>
        <v/>
      </c>
      <c r="C14" s="34">
        <f>CHOOSE(WEEKDAY(B14),"日","月","火","水","木","金","土")</f>
        <v/>
      </c>
      <c r="D14" s="35" t="inlineStr">
        <is>
          <t>6週前</t>
        </is>
      </c>
      <c r="E14" s="26" t="inlineStr">
        <is>
          <t>B 事務の手続き</t>
        </is>
      </c>
      <c r="F14" s="10" t="inlineStr">
        <is>
          <t>予算の執行伺い</t>
        </is>
      </c>
      <c r="G14" s="26" t="inlineStr">
        <is>
          <t>記念品／盆栽の材料／茶菓／印刷／講師謝礼</t>
        </is>
      </c>
      <c r="H14" s="27" t="n"/>
      <c r="I14" s="27" t="inlineStr">
        <is>
          <t>未着手</t>
        </is>
      </c>
      <c r="J14" s="36" t="n"/>
      <c r="K14" s="37" t="inlineStr">
        <is>
          <t>予算は50,000円。「予算50,000円」シートの配分案を見ながら</t>
        </is>
      </c>
    </row>
    <row r="15" ht="30" customHeight="1">
      <c r="A15" s="32" t="n">
        <v>11</v>
      </c>
      <c r="B15" s="33">
        <f>使い方!$B$5-42</f>
        <v/>
      </c>
      <c r="C15" s="34">
        <f>CHOOSE(WEEKDAY(B15),"日","月","火","水","木","金","土")</f>
        <v/>
      </c>
      <c r="D15" s="35" t="inlineStr">
        <is>
          <t>6週前</t>
        </is>
      </c>
      <c r="E15" s="26" t="inlineStr">
        <is>
          <t>B 事務の手続き</t>
        </is>
      </c>
      <c r="F15" s="10" t="inlineStr">
        <is>
          <t>予算50,000円の配分を決める</t>
        </is>
      </c>
      <c r="G15" s="26" t="inlineStr">
        <is>
          <t>「予算50,000円」シートのたたき台を見ながら。記念品・盆栽材料・茶菓の3つで大半が決まります</t>
        </is>
      </c>
      <c r="H15" s="27" t="n"/>
      <c r="I15" s="27" t="inlineStr">
        <is>
          <t>未着手</t>
        </is>
      </c>
      <c r="J15" s="36" t="n"/>
      <c r="K15" s="37" t="inlineStr">
        <is>
          <t>11月3日は文化の日。前後にずらす</t>
        </is>
      </c>
    </row>
    <row r="16" ht="30" customHeight="1">
      <c r="A16" s="32" t="n">
        <v>12</v>
      </c>
      <c r="B16" s="33">
        <f>使い方!$B$5-42</f>
        <v/>
      </c>
      <c r="C16" s="34">
        <f>CHOOSE(WEEKDAY(B16),"日","月","火","水","木","金","土")</f>
        <v/>
      </c>
      <c r="D16" s="35" t="inlineStr">
        <is>
          <t>6週前</t>
        </is>
      </c>
      <c r="E16" s="26" t="inlineStr">
        <is>
          <t>D 参加記念品</t>
        </is>
      </c>
      <c r="F16" s="10" t="inlineStr">
        <is>
          <t>何を渡すか決める</t>
        </is>
      </c>
      <c r="G16" s="26" t="inlineStr">
        <is>
          <t>案：花の種の小袋／お茶のティーバッグ／盆栽の小さな苗／町内の作業所でつくったもの（＝作業所支援にもなります）</t>
        </is>
      </c>
      <c r="H16" s="27" t="n"/>
      <c r="I16" s="27" t="inlineStr">
        <is>
          <t>未着手</t>
        </is>
      </c>
      <c r="J16" s="36" t="n"/>
      <c r="K16" s="37" t="inlineStr">
        <is>
          <t>11月3日は文化の日。前後にずらす</t>
        </is>
      </c>
    </row>
    <row r="17" ht="30" customHeight="1">
      <c r="A17" s="32" t="n">
        <v>13</v>
      </c>
      <c r="B17" s="33">
        <f>使い方!$B$5-42</f>
        <v/>
      </c>
      <c r="C17" s="34">
        <f>CHOOSE(WEEKDAY(B17),"日","月","火","水","木","金","土")</f>
        <v/>
      </c>
      <c r="D17" s="35" t="inlineStr">
        <is>
          <t>6週前</t>
        </is>
      </c>
      <c r="E17" s="26" t="inlineStr">
        <is>
          <t>D 参加記念品</t>
        </is>
      </c>
      <c r="F17" s="10" t="inlineStr">
        <is>
          <t>単価と数量を決める</t>
        </is>
      </c>
      <c r="G17" s="26" t="inlineStr">
        <is>
          <t>1人あたりの金額 × 見込み人数 ＋ 予備10個。予算内におさまるか確認</t>
        </is>
      </c>
      <c r="H17" s="27" t="n"/>
      <c r="I17" s="27" t="inlineStr">
        <is>
          <t>未着手</t>
        </is>
      </c>
      <c r="J17" s="36" t="n"/>
      <c r="K17" s="37" t="inlineStr">
        <is>
          <t>11月3日は文化の日。前後にずらす</t>
        </is>
      </c>
    </row>
    <row r="18" ht="30" customHeight="1">
      <c r="A18" s="32" t="n">
        <v>14</v>
      </c>
      <c r="B18" s="33">
        <f>使い方!$B$5-42</f>
        <v/>
      </c>
      <c r="C18" s="34">
        <f>CHOOSE(WEEKDAY(B18),"日","月","火","水","木","金","土")</f>
        <v/>
      </c>
      <c r="D18" s="35" t="inlineStr">
        <is>
          <t>6週前</t>
        </is>
      </c>
      <c r="E18" s="26" t="inlineStr">
        <is>
          <t>G 盆栽ボランティアの準備</t>
        </is>
      </c>
      <c r="F18" s="10" t="inlineStr">
        <is>
          <t>打ち合わせ：何をどこまでやるか決める</t>
        </is>
      </c>
      <c r="G18" s="26" t="inlineStr">
        <is>
          <t>90分のうち何分使うか（30〜40分がめやす）。作業の難しさ、いすに座ったままできるか</t>
        </is>
      </c>
      <c r="H18" s="27" t="n"/>
      <c r="I18" s="27" t="inlineStr">
        <is>
          <t>未着手</t>
        </is>
      </c>
      <c r="J18" s="36" t="n"/>
      <c r="K18" s="37" t="inlineStr">
        <is>
          <t>11月3日は文化の日。前後にずらす</t>
        </is>
      </c>
    </row>
    <row r="19" ht="30" customHeight="1">
      <c r="A19" s="32" t="n">
        <v>15</v>
      </c>
      <c r="B19" s="33">
        <f>使い方!$B$5-42</f>
        <v/>
      </c>
      <c r="C19" s="34">
        <f>CHOOSE(WEEKDAY(B19),"日","月","火","水","木","金","土")</f>
        <v/>
      </c>
      <c r="D19" s="35" t="inlineStr">
        <is>
          <t>6週前</t>
        </is>
      </c>
      <c r="E19" s="26" t="inlineStr">
        <is>
          <t>G 盆栽ボランティアの準備</t>
        </is>
      </c>
      <c r="F19" s="10" t="inlineStr">
        <is>
          <t>内容を確定する</t>
        </is>
      </c>
      <c r="G19" s="26" t="inlineStr">
        <is>
          <t>案：小さな苗を鉢に植えて持ち帰る／松の芽切り／水やりと置き場所の話。持ち帰れる形にすると満足度が高い</t>
        </is>
      </c>
      <c r="H19" s="27" t="n"/>
      <c r="I19" s="27" t="inlineStr">
        <is>
          <t>未着手</t>
        </is>
      </c>
      <c r="J19" s="36" t="n"/>
      <c r="K19" s="37" t="inlineStr">
        <is>
          <t>11月3日は文化の日。前後にずらす</t>
        </is>
      </c>
    </row>
    <row r="20" ht="30" customHeight="1">
      <c r="A20" s="32" t="n">
        <v>16</v>
      </c>
      <c r="B20" s="33">
        <f>使い方!$B$5-42</f>
        <v/>
      </c>
      <c r="C20" s="34">
        <f>CHOOSE(WEEKDAY(B20),"日","月","火","水","木","金","土")</f>
        <v/>
      </c>
      <c r="D20" s="35" t="inlineStr">
        <is>
          <t>6週前</t>
        </is>
      </c>
      <c r="E20" s="26" t="inlineStr">
        <is>
          <t>G 盆栽ボランティアの準備</t>
        </is>
      </c>
      <c r="F20" s="10" t="inlineStr">
        <is>
          <t>材料の数量を決める</t>
        </is>
      </c>
      <c r="G20" s="26" t="inlineStr">
        <is>
          <t>参加見込み ＋ 予備3セット。当日の飛び込み参加に備える</t>
        </is>
      </c>
      <c r="H20" s="27" t="n"/>
      <c r="I20" s="27" t="inlineStr">
        <is>
          <t>未着手</t>
        </is>
      </c>
      <c r="J20" s="36" t="n"/>
      <c r="K20" s="37" t="inlineStr">
        <is>
          <t>11月3日は文化の日。前後にずらす</t>
        </is>
      </c>
    </row>
    <row r="21" ht="30" customHeight="1">
      <c r="A21" s="32" t="n">
        <v>17</v>
      </c>
      <c r="B21" s="33">
        <f>使い方!$B$5-42</f>
        <v/>
      </c>
      <c r="C21" s="34">
        <f>CHOOSE(WEEKDAY(B21),"日","月","火","水","木","金","土")</f>
        <v/>
      </c>
      <c r="D21" s="35" t="inlineStr">
        <is>
          <t>6週前</t>
        </is>
      </c>
      <c r="E21" s="26" t="inlineStr">
        <is>
          <t>G 盆栽ボランティアの準備</t>
        </is>
      </c>
      <c r="F21" s="10" t="inlineStr">
        <is>
          <t>盆栽を当日どこに入れるか決める</t>
        </is>
      </c>
      <c r="G21" s="26" t="inlineStr">
        <is>
          <t>自由見学（11:00〜12:00）のコーナーに置くのが自然。作業に30分以上かかる内容なら、別の日に回す判断も</t>
        </is>
      </c>
      <c r="H21" s="27" t="n"/>
      <c r="I21" s="27" t="inlineStr">
        <is>
          <t>未着手</t>
        </is>
      </c>
      <c r="J21" s="36" t="n"/>
      <c r="K21" s="37" t="inlineStr">
        <is>
          <t>11月3日は文化の日。前後にずらす</t>
        </is>
      </c>
    </row>
    <row r="22" ht="30" customHeight="1">
      <c r="A22" s="32" t="n">
        <v>18</v>
      </c>
      <c r="B22" s="33">
        <f>使い方!$B$5-42</f>
        <v/>
      </c>
      <c r="C22" s="34">
        <f>CHOOSE(WEEKDAY(B22),"日","月","火","水","木","金","土")</f>
        <v/>
      </c>
      <c r="D22" s="35" t="inlineStr">
        <is>
          <t>6週前</t>
        </is>
      </c>
      <c r="E22" s="26" t="inlineStr">
        <is>
          <t>K 体験・展示コーナーの準備</t>
        </is>
      </c>
      <c r="F22" s="10" t="inlineStr">
        <is>
          <t>町の備蓄にある段ボールベッドの台数を確認し、借用を依頼する</t>
        </is>
      </c>
      <c r="G22" s="26" t="inlineStr">
        <is>
          <t>何台借りられるか、受け取りと返却の方法をあわせて確認する。借用が基本、足りない分だけ購入する</t>
        </is>
      </c>
      <c r="H22" s="27" t="n"/>
      <c r="I22" s="27" t="inlineStr">
        <is>
          <t>未着手</t>
        </is>
      </c>
      <c r="J22" s="36" t="n"/>
      <c r="K22" s="37" t="inlineStr">
        <is>
          <t>11月3日は文化の日。前後にずらす</t>
        </is>
      </c>
    </row>
    <row r="23" ht="30" customHeight="1">
      <c r="A23" s="32" t="n">
        <v>19</v>
      </c>
      <c r="B23" s="33">
        <f>使い方!$B$5-42</f>
        <v/>
      </c>
      <c r="C23" s="34">
        <f>CHOOSE(WEEKDAY(B23),"日","月","火","水","木","金","土")</f>
        <v/>
      </c>
      <c r="D23" s="35" t="inlineStr">
        <is>
          <t>6週前</t>
        </is>
      </c>
      <c r="E23" s="26" t="inlineStr">
        <is>
          <t>K 体験・展示コーナーの準備</t>
        </is>
      </c>
      <c r="F23" s="10" t="inlineStr">
        <is>
          <t>当日使う段ボールベッドの台数を決める</t>
        </is>
      </c>
      <c r="G23" s="26" t="inlineStr">
        <is>
          <t>1台を4〜5人で組むのがめやす。定員50人なら体験用に数台。組み立て済みを1台置いておくと、完成形が分かります</t>
        </is>
      </c>
      <c r="H23" s="27" t="n"/>
      <c r="I23" s="27" t="inlineStr">
        <is>
          <t>未着手</t>
        </is>
      </c>
      <c r="J23" s="36" t="n"/>
      <c r="K23" s="37" t="inlineStr">
        <is>
          <t>11月3日は文化の日。前後にずらす</t>
        </is>
      </c>
    </row>
    <row r="24" ht="30" customHeight="1">
      <c r="A24" s="32" t="n">
        <v>20</v>
      </c>
      <c r="B24" s="33">
        <f>使い方!$B$5-42</f>
        <v/>
      </c>
      <c r="C24" s="34">
        <f>CHOOSE(WEEKDAY(B24),"日","月","火","水","木","金","土")</f>
        <v/>
      </c>
      <c r="D24" s="35" t="inlineStr">
        <is>
          <t>6週前</t>
        </is>
      </c>
      <c r="E24" s="26" t="inlineStr">
        <is>
          <t>K 体験・展示コーナーの準備</t>
        </is>
      </c>
      <c r="F24" s="10" t="inlineStr">
        <is>
          <t>展示する最新の防災グッズを選び、購入リストをつくる</t>
        </is>
      </c>
      <c r="G24" s="26" t="inlineStr">
        <is>
          <t>予算内で。「見たことがない」「さわってみたい」と思えるものを優先する。予算シートは10,000円で計上</t>
        </is>
      </c>
      <c r="H24" s="27" t="n"/>
      <c r="I24" s="27" t="inlineStr">
        <is>
          <t>未着手</t>
        </is>
      </c>
      <c r="J24" s="36" t="n"/>
      <c r="K24" s="37" t="inlineStr">
        <is>
          <t>11月3日は文化の日。前後にずらす</t>
        </is>
      </c>
    </row>
    <row r="25" ht="30" customHeight="1">
      <c r="A25" s="32" t="n">
        <v>21</v>
      </c>
      <c r="B25" s="33">
        <f>使い方!$B$5-42</f>
        <v/>
      </c>
      <c r="C25" s="34">
        <f>CHOOSE(WEEKDAY(B25),"日","月","火","水","木","金","土")</f>
        <v/>
      </c>
      <c r="D25" s="35" t="inlineStr">
        <is>
          <t>6週前</t>
        </is>
      </c>
      <c r="E25" s="26" t="inlineStr">
        <is>
          <t>K 体験・展示コーナーの準備</t>
        </is>
      </c>
      <c r="F25" s="10" t="inlineStr">
        <is>
          <t>役場総務課防災対策室へ、防災バッグの借用を依頼する</t>
        </is>
      </c>
      <c r="G25" s="26" t="inlineStr">
        <is>
          <t>中身を見せる展示に使います。受け取りと返却の方法、中身を出して並べてよいかもあわせて確認する</t>
        </is>
      </c>
      <c r="H25" s="27" t="n"/>
      <c r="I25" s="27" t="inlineStr">
        <is>
          <t>未着手</t>
        </is>
      </c>
      <c r="J25" s="36" t="n"/>
      <c r="K25" s="37" t="inlineStr">
        <is>
          <t>11月3日は文化の日。前後にずらす</t>
        </is>
      </c>
    </row>
    <row r="26" ht="30" customHeight="1">
      <c r="A26" s="32" t="n">
        <v>22</v>
      </c>
      <c r="B26" s="33">
        <f>使い方!$B$5-35</f>
        <v/>
      </c>
      <c r="C26" s="34">
        <f>CHOOSE(WEEKDAY(B26),"日","月","火","水","木","金","土")</f>
        <v/>
      </c>
      <c r="D26" s="35" t="inlineStr">
        <is>
          <t>5週前</t>
        </is>
      </c>
      <c r="E26" s="26" t="inlineStr">
        <is>
          <t>H 災ボラ体験の資料</t>
        </is>
      </c>
      <c r="F26" s="10" t="inlineStr">
        <is>
          <t>既存の資料一式を出して、そろっているか確認する</t>
        </is>
      </c>
      <c r="G26" s="26" t="inlineStr">
        <is>
          <t>福祉教育プログラム「災害ボランティアセンター運営体験」の様式・進行表</t>
        </is>
      </c>
      <c r="H26" s="27" t="n"/>
      <c r="I26" s="27" t="inlineStr">
        <is>
          <t>未着手</t>
        </is>
      </c>
      <c r="J26" s="36" t="n"/>
      <c r="K26" s="37" t="n"/>
    </row>
    <row r="27" ht="30" customHeight="1">
      <c r="A27" s="32" t="n">
        <v>23</v>
      </c>
      <c r="B27" s="33">
        <f>使い方!$B$5-35</f>
        <v/>
      </c>
      <c r="C27" s="34">
        <f>CHOOSE(WEEKDAY(B27),"日","月","火","水","木","金","土")</f>
        <v/>
      </c>
      <c r="D27" s="35" t="inlineStr">
        <is>
          <t>5週前</t>
        </is>
      </c>
      <c r="E27" s="26" t="inlineStr">
        <is>
          <t>H 災ボラ体験の資料</t>
        </is>
      </c>
      <c r="F27" s="10" t="inlineStr">
        <is>
          <t>縮小版の構成を決める</t>
        </is>
      </c>
      <c r="G27" s="26" t="inlineStr">
        <is>
          <t>受付 → ニーズ受付 → マッチング → 送り出し の4場面を、20〜30分で通す。説明は短く、動かす時間を長く</t>
        </is>
      </c>
      <c r="H27" s="27" t="n"/>
      <c r="I27" s="27" t="inlineStr">
        <is>
          <t>未着手</t>
        </is>
      </c>
      <c r="J27" s="36" t="n"/>
      <c r="K27" s="37" t="n"/>
    </row>
    <row r="28" ht="30" customHeight="1">
      <c r="A28" s="32" t="n">
        <v>24</v>
      </c>
      <c r="B28" s="33">
        <f>使い方!$B$5-35</f>
        <v/>
      </c>
      <c r="C28" s="34">
        <f>CHOOSE(WEEKDAY(B28),"日","月","火","水","木","金","土")</f>
        <v/>
      </c>
      <c r="D28" s="35" t="inlineStr">
        <is>
          <t>5週前</t>
        </is>
      </c>
      <c r="E28" s="26" t="inlineStr">
        <is>
          <t>H 災ボラ体験の資料</t>
        </is>
      </c>
      <c r="F28" s="10" t="inlineStr">
        <is>
          <t>講座（10:00〜11:00）の構成を決める</t>
        </is>
      </c>
      <c r="G28" s="26" t="inlineStr">
        <is>
          <t>前半「ボランティアとは」＋後半「災害ボランティアセンターの運営」。60分をどう割るかを先に決める</t>
        </is>
      </c>
      <c r="H28" s="27" t="n"/>
      <c r="I28" s="27" t="inlineStr">
        <is>
          <t>未着手</t>
        </is>
      </c>
      <c r="J28" s="36" t="n"/>
      <c r="K28" s="37" t="n"/>
    </row>
    <row r="29" ht="30" customHeight="1">
      <c r="A29" s="32" t="n">
        <v>25</v>
      </c>
      <c r="B29" s="33">
        <f>使い方!$B$5-35</f>
        <v/>
      </c>
      <c r="C29" s="34">
        <f>CHOOSE(WEEKDAY(B29),"日","月","火","水","木","金","土")</f>
        <v/>
      </c>
      <c r="D29" s="35" t="inlineStr">
        <is>
          <t>5週前</t>
        </is>
      </c>
      <c r="E29" s="26" t="inlineStr">
        <is>
          <t>H 災ボラ体験の資料</t>
        </is>
      </c>
      <c r="F29" s="10" t="inlineStr">
        <is>
          <t>講座で話す人を決める</t>
        </is>
      </c>
      <c r="G29" s="26" t="inlineStr">
        <is>
          <t>職員が話すか、外部にお願いするか。外部なら謝礼と依頼文が要ります</t>
        </is>
      </c>
      <c r="H29" s="27" t="n"/>
      <c r="I29" s="27" t="inlineStr">
        <is>
          <t>未着手</t>
        </is>
      </c>
      <c r="J29" s="36" t="n"/>
      <c r="K29" s="37" t="n"/>
    </row>
    <row r="30" ht="30" customHeight="1">
      <c r="A30" s="32" t="n">
        <v>26</v>
      </c>
      <c r="B30" s="33">
        <f>使い方!$B$5-35</f>
        <v/>
      </c>
      <c r="C30" s="34">
        <f>CHOOSE(WEEKDAY(B30),"日","月","火","水","木","金","土")</f>
        <v/>
      </c>
      <c r="D30" s="35" t="inlineStr">
        <is>
          <t>5週前</t>
        </is>
      </c>
      <c r="E30" s="26" t="inlineStr">
        <is>
          <t>H 災ボラ体験の資料</t>
        </is>
      </c>
      <c r="F30" s="10" t="inlineStr">
        <is>
          <t>大郷町の防災士のうち、誰に応援をお願いするか決める</t>
        </is>
      </c>
      <c r="G30" s="26" t="inlineStr">
        <is>
          <t>町の防災担当課と相談して名簿を確認する。連絡先は持ち出さず、依頼は社協から出す</t>
        </is>
      </c>
      <c r="H30" s="27" t="n"/>
      <c r="I30" s="27" t="inlineStr">
        <is>
          <t>未着手</t>
        </is>
      </c>
      <c r="J30" s="36" t="n"/>
      <c r="K30" s="37" t="n"/>
    </row>
    <row r="31" ht="30" customHeight="1">
      <c r="A31" s="32" t="n">
        <v>27</v>
      </c>
      <c r="B31" s="33">
        <f>使い方!$B$5-35</f>
        <v/>
      </c>
      <c r="C31" s="34">
        <f>CHOOSE(WEEKDAY(B31),"日","月","火","水","木","金","土")</f>
        <v/>
      </c>
      <c r="D31" s="35" t="inlineStr">
        <is>
          <t>5週前</t>
        </is>
      </c>
      <c r="E31" s="26" t="inlineStr">
        <is>
          <t>H 災ボラ体験の資料</t>
        </is>
      </c>
      <c r="F31" s="10" t="inlineStr">
        <is>
          <t>防災士へ出す応援依頼文をつくる</t>
        </is>
      </c>
      <c r="G31" s="26" t="inlineStr">
        <is>
          <t>1枚に：依頼の趣旨（災害ボランティアセンター運営体験の手伝い）／日時・会場／お願いしたい役割／返事の期限（4週前まで）／社協の連絡先</t>
        </is>
      </c>
      <c r="H31" s="27" t="n"/>
      <c r="I31" s="27" t="inlineStr">
        <is>
          <t>未着手</t>
        </is>
      </c>
      <c r="J31" s="36" t="n"/>
      <c r="K31" s="37" t="n"/>
    </row>
    <row r="32" ht="30" customHeight="1">
      <c r="A32" s="32" t="n">
        <v>28</v>
      </c>
      <c r="B32" s="33">
        <f>使い方!$B$5-35</f>
        <v/>
      </c>
      <c r="C32" s="34">
        <f>CHOOSE(WEEKDAY(B32),"日","月","火","水","木","金","土")</f>
        <v/>
      </c>
      <c r="D32" s="35" t="inlineStr">
        <is>
          <t>5週前</t>
        </is>
      </c>
      <c r="E32" s="26" t="inlineStr">
        <is>
          <t>K 体験・展示コーナーの準備</t>
        </is>
      </c>
      <c r="F32" s="10" t="inlineStr">
        <is>
          <t>借りられない不足分の段ボールベッドを購入する</t>
        </is>
      </c>
      <c r="G32" s="26" t="inlineStr">
        <is>
          <t>納期に注意。1台あたり約3,000円。購入するなら、その分どこかを削る必要があります（予算シート参照）</t>
        </is>
      </c>
      <c r="H32" s="27" t="n"/>
      <c r="I32" s="27" t="inlineStr">
        <is>
          <t>未着手</t>
        </is>
      </c>
      <c r="J32" s="36" t="n"/>
      <c r="K32" s="37" t="n"/>
    </row>
    <row r="33" ht="30" customHeight="1">
      <c r="A33" s="32" t="n">
        <v>29</v>
      </c>
      <c r="B33" s="33">
        <f>使い方!$B$5-35</f>
        <v/>
      </c>
      <c r="C33" s="34">
        <f>CHOOSE(WEEKDAY(B33),"日","月","火","水","木","金","土")</f>
        <v/>
      </c>
      <c r="D33" s="35" t="inlineStr">
        <is>
          <t>5週前</t>
        </is>
      </c>
      <c r="E33" s="26" t="inlineStr">
        <is>
          <t>K 体験・展示コーナーの準備</t>
        </is>
      </c>
      <c r="F33" s="10" t="inlineStr">
        <is>
          <t>防災グッズを発注・購入する</t>
        </is>
      </c>
      <c r="G33" s="26" t="inlineStr">
        <is>
          <t>納期に注意。届いたら箱から出して、当日すぐさわれる状態にしておく</t>
        </is>
      </c>
      <c r="H33" s="27" t="n"/>
      <c r="I33" s="27" t="inlineStr">
        <is>
          <t>未着手</t>
        </is>
      </c>
      <c r="J33" s="36" t="n"/>
      <c r="K33" s="37" t="n"/>
    </row>
    <row r="34" ht="30" customHeight="1">
      <c r="A34" s="32" t="n">
        <v>30</v>
      </c>
      <c r="B34" s="33">
        <f>使い方!$B$5-35</f>
        <v/>
      </c>
      <c r="C34" s="34">
        <f>CHOOSE(WEEKDAY(B34),"日","月","火","水","木","金","土")</f>
        <v/>
      </c>
      <c r="D34" s="35" t="inlineStr">
        <is>
          <t>5週前</t>
        </is>
      </c>
      <c r="E34" s="26" t="inlineStr">
        <is>
          <t>K 体験・展示コーナーの準備</t>
        </is>
      </c>
      <c r="F34" s="10" t="inlineStr">
        <is>
          <t>配食ボランティアのみなさんへ、当日の紹介コーナーへの協力をお願いする</t>
        </is>
      </c>
      <c r="G34" s="26" t="inlineStr">
        <is>
          <t>写真をお借りするだけでも構いません。当日コーナーに立ってもらえるかも確認する</t>
        </is>
      </c>
      <c r="H34" s="27" t="n"/>
      <c r="I34" s="27" t="inlineStr">
        <is>
          <t>未着手</t>
        </is>
      </c>
      <c r="J34" s="36" t="n"/>
      <c r="K34" s="37" t="n"/>
    </row>
    <row r="35" ht="30" customHeight="1">
      <c r="A35" s="32" t="n">
        <v>31</v>
      </c>
      <c r="B35" s="33">
        <f>使い方!$B$5-28</f>
        <v/>
      </c>
      <c r="C35" s="34">
        <f>CHOOSE(WEEKDAY(B35),"日","月","火","水","木","金","土")</f>
        <v/>
      </c>
      <c r="D35" s="35" t="inlineStr">
        <is>
          <t>4週前</t>
        </is>
      </c>
      <c r="E35" s="26" t="inlineStr">
        <is>
          <t>A 会場をおさえる</t>
        </is>
      </c>
      <c r="F35" s="10" t="inlineStr">
        <is>
          <t>設備を確認する</t>
        </is>
      </c>
      <c r="G35" s="26" t="inlineStr">
        <is>
          <t>電源の位置と数／暖房／給湯室／机といすの数／ゴミは持ち帰りか／掲示物を壁に貼ってよいか</t>
        </is>
      </c>
      <c r="H35" s="27" t="n"/>
      <c r="I35" s="27" t="inlineStr">
        <is>
          <t>未着手</t>
        </is>
      </c>
      <c r="J35" s="36" t="n"/>
      <c r="K35" s="37" t="n"/>
    </row>
    <row r="36" ht="30" customHeight="1">
      <c r="A36" s="32" t="n">
        <v>32</v>
      </c>
      <c r="B36" s="33">
        <f>使い方!$B$5-28</f>
        <v/>
      </c>
      <c r="C36" s="34">
        <f>CHOOSE(WEEKDAY(B36),"日","月","火","水","木","金","土")</f>
        <v/>
      </c>
      <c r="D36" s="35" t="inlineStr">
        <is>
          <t>4週前</t>
        </is>
      </c>
      <c r="E36" s="26" t="inlineStr">
        <is>
          <t>A 会場をおさえる</t>
        </is>
      </c>
      <c r="F36" s="10" t="inlineStr">
        <is>
          <t>前日12月14日（月）15:00から会場に入れるか確認する</t>
        </is>
      </c>
      <c r="G36" s="26" t="inlineStr">
        <is>
          <t>粕川地区防災コミュニティーセンター。前日準備の時間帯に使用申請が要るかも確認</t>
        </is>
      </c>
      <c r="H36" s="27" t="n"/>
      <c r="I36" s="27" t="inlineStr">
        <is>
          <t>未着手</t>
        </is>
      </c>
      <c r="J36" s="36" t="n"/>
      <c r="K36" s="37" t="inlineStr">
        <is>
          <t>会場は粕川地区防災コミュニティーセンターに決定済み</t>
        </is>
      </c>
    </row>
    <row r="37" ht="30" customHeight="1">
      <c r="A37" s="32" t="n">
        <v>33</v>
      </c>
      <c r="B37" s="33">
        <f>使い方!$B$5-28</f>
        <v/>
      </c>
      <c r="C37" s="34">
        <f>CHOOSE(WEEKDAY(B37),"日","月","火","水","木","金","土")</f>
        <v/>
      </c>
      <c r="D37" s="35" t="inlineStr">
        <is>
          <t>4週前</t>
        </is>
      </c>
      <c r="E37" s="26" t="inlineStr">
        <is>
          <t>B 事務の手続き</t>
        </is>
      </c>
      <c r="F37" s="10" t="inlineStr">
        <is>
          <t>ボランティア活動保険の加入状況を確認する</t>
        </is>
      </c>
      <c r="G37" s="26" t="inlineStr">
        <is>
          <t>盆栽の道具（はさみ）と災ボラ体験の資機材を扱います。参加者に保険が要るかを整理し、必要なら加入用紙を用意</t>
        </is>
      </c>
      <c r="H37" s="27" t="n"/>
      <c r="I37" s="27" t="inlineStr">
        <is>
          <t>未着手</t>
        </is>
      </c>
      <c r="J37" s="36" t="n"/>
      <c r="K37" s="37" t="n"/>
    </row>
    <row r="38" ht="30" customHeight="1">
      <c r="A38" s="32" t="n">
        <v>34</v>
      </c>
      <c r="B38" s="33">
        <f>使い方!$B$5-28</f>
        <v/>
      </c>
      <c r="C38" s="34">
        <f>CHOOSE(WEEKDAY(B38),"日","月","火","水","木","金","土")</f>
        <v/>
      </c>
      <c r="D38" s="35" t="inlineStr">
        <is>
          <t>4週前</t>
        </is>
      </c>
      <c r="E38" s="26" t="inlineStr">
        <is>
          <t>C チラシと広報</t>
        </is>
      </c>
      <c r="F38" s="10" t="inlineStr">
        <is>
          <t>区長・行政区へ回覧を依頼する</t>
        </is>
      </c>
      <c r="G38" s="26" t="inlineStr">
        <is>
          <t>回りきるまで2〜3週間かかります。開催3週前には回りはじめるよう逆算</t>
        </is>
      </c>
      <c r="H38" s="27" t="n"/>
      <c r="I38" s="27" t="inlineStr">
        <is>
          <t>未着手</t>
        </is>
      </c>
      <c r="J38" s="36" t="n"/>
      <c r="K38" s="37" t="n"/>
    </row>
    <row r="39" ht="30" customHeight="1">
      <c r="A39" s="32" t="n">
        <v>35</v>
      </c>
      <c r="B39" s="33">
        <f>使い方!$B$5-28</f>
        <v/>
      </c>
      <c r="C39" s="34">
        <f>CHOOSE(WEEKDAY(B39),"日","月","火","水","木","金","土")</f>
        <v/>
      </c>
      <c r="D39" s="35" t="inlineStr">
        <is>
          <t>4週前</t>
        </is>
      </c>
      <c r="E39" s="26" t="inlineStr">
        <is>
          <t>E カフェで使う備品</t>
        </is>
      </c>
      <c r="F39" s="10" t="inlineStr">
        <is>
          <t>飲みもの</t>
        </is>
      </c>
      <c r="G39" s="26" t="inlineStr">
        <is>
          <t>お茶（温・冷）／コーヒー／紅茶／砂糖・ミルク／麦茶。夏冬で入れ替える</t>
        </is>
      </c>
      <c r="H39" s="27" t="n"/>
      <c r="I39" s="27" t="inlineStr">
        <is>
          <t>未着手</t>
        </is>
      </c>
      <c r="J39" s="36" t="n"/>
      <c r="K39" s="37" t="n"/>
    </row>
    <row r="40" ht="30" customHeight="1">
      <c r="A40" s="32" t="n">
        <v>36</v>
      </c>
      <c r="B40" s="33">
        <f>使い方!$B$5-28</f>
        <v/>
      </c>
      <c r="C40" s="34">
        <f>CHOOSE(WEEKDAY(B40),"日","月","火","水","木","金","土")</f>
        <v/>
      </c>
      <c r="D40" s="35" t="inlineStr">
        <is>
          <t>4週前</t>
        </is>
      </c>
      <c r="E40" s="26" t="inlineStr">
        <is>
          <t>E カフェで使う備品</t>
        </is>
      </c>
      <c r="F40" s="10" t="inlineStr">
        <is>
          <t>紙コップ・紙皿・おしぼり・つまようじ・ゴミ袋（分別の数だけ）</t>
        </is>
      </c>
      <c r="G40" s="26" t="n"/>
      <c r="H40" s="27" t="n"/>
      <c r="I40" s="27" t="inlineStr">
        <is>
          <t>未着手</t>
        </is>
      </c>
      <c r="J40" s="36" t="n"/>
      <c r="K40" s="37" t="n"/>
    </row>
    <row r="41" ht="30" customHeight="1">
      <c r="A41" s="32" t="n">
        <v>37</v>
      </c>
      <c r="B41" s="33">
        <f>使い方!$B$5-28</f>
        <v/>
      </c>
      <c r="C41" s="34">
        <f>CHOOSE(WEEKDAY(B41),"日","月","火","水","木","金","土")</f>
        <v/>
      </c>
      <c r="D41" s="35" t="inlineStr">
        <is>
          <t>4週前</t>
        </is>
      </c>
      <c r="E41" s="26" t="inlineStr">
        <is>
          <t>E カフェで使う備品</t>
        </is>
      </c>
      <c r="F41" s="10" t="inlineStr">
        <is>
          <t>保温ポット2本、やかん、給湯の段取り</t>
        </is>
      </c>
      <c r="G41" s="26" t="inlineStr">
        <is>
          <t>会場で沸かせるか、社協から運ぶかを決めておく</t>
        </is>
      </c>
      <c r="H41" s="27" t="n"/>
      <c r="I41" s="27" t="inlineStr">
        <is>
          <t>未着手</t>
        </is>
      </c>
      <c r="J41" s="36" t="n"/>
      <c r="K41" s="37" t="n"/>
    </row>
    <row r="42" ht="30" customHeight="1">
      <c r="A42" s="32" t="n">
        <v>38</v>
      </c>
      <c r="B42" s="33">
        <f>使い方!$B$5-28</f>
        <v/>
      </c>
      <c r="C42" s="34">
        <f>CHOOSE(WEEKDAY(B42),"日","月","火","水","木","金","土")</f>
        <v/>
      </c>
      <c r="D42" s="35" t="inlineStr">
        <is>
          <t>4週前</t>
        </is>
      </c>
      <c r="E42" s="26" t="inlineStr">
        <is>
          <t>E カフェで使う備品</t>
        </is>
      </c>
      <c r="F42" s="10" t="inlineStr">
        <is>
          <t>名札（貼るタイプ）とケース、太めのサインペン</t>
        </is>
      </c>
      <c r="G42" s="26" t="inlineStr">
        <is>
          <t>呼ばれたい名前を大きく書いてもらいます。細いペンは使わない</t>
        </is>
      </c>
      <c r="H42" s="27" t="n"/>
      <c r="I42" s="27" t="inlineStr">
        <is>
          <t>未着手</t>
        </is>
      </c>
      <c r="J42" s="36" t="n"/>
      <c r="K42" s="37" t="n"/>
    </row>
    <row r="43" ht="30" customHeight="1">
      <c r="A43" s="32" t="n">
        <v>39</v>
      </c>
      <c r="B43" s="33">
        <f>使い方!$B$5-28</f>
        <v/>
      </c>
      <c r="C43" s="34">
        <f>CHOOSE(WEEKDAY(B43),"日","月","火","水","木","金","土")</f>
        <v/>
      </c>
      <c r="D43" s="35" t="inlineStr">
        <is>
          <t>4週前</t>
        </is>
      </c>
      <c r="E43" s="26" t="inlineStr">
        <is>
          <t>F 会場に貼る表示物</t>
        </is>
      </c>
      <c r="F43" s="10" t="inlineStr">
        <is>
          <t>自由見学（11:00〜12:00）のコーナー構成を決める</t>
        </is>
      </c>
      <c r="G43" s="26" t="inlineStr">
        <is>
          <t>案：災ボラの資機材展示／マッチング体験／町の活動紹介パネル／盆栽コーナー／お茶と相談。何を何か所置くかを先に決める</t>
        </is>
      </c>
      <c r="H43" s="27" t="n"/>
      <c r="I43" s="27" t="inlineStr">
        <is>
          <t>未着手</t>
        </is>
      </c>
      <c r="J43" s="36" t="n"/>
      <c r="K43" s="37" t="n"/>
    </row>
    <row r="44" ht="30" customHeight="1">
      <c r="A44" s="32" t="n">
        <v>40</v>
      </c>
      <c r="B44" s="33">
        <f>使い方!$B$5-28</f>
        <v/>
      </c>
      <c r="C44" s="34">
        <f>CHOOSE(WEEKDAY(B44),"日","月","火","水","木","金","土")</f>
        <v/>
      </c>
      <c r="D44" s="35" t="inlineStr">
        <is>
          <t>4週前</t>
        </is>
      </c>
      <c r="E44" s="26" t="inlineStr">
        <is>
          <t>G 盆栽ボランティアの準備</t>
        </is>
      </c>
      <c r="F44" s="10" t="inlineStr">
        <is>
          <t>材料を発注する</t>
        </is>
      </c>
      <c r="G44" s="26" t="inlineStr">
        <is>
          <t>苗木／鉢／用土／鉢底ネット／鉢底石／化粧砂／ラベル</t>
        </is>
      </c>
      <c r="H44" s="27" t="n"/>
      <c r="I44" s="27" t="inlineStr">
        <is>
          <t>未着手</t>
        </is>
      </c>
      <c r="J44" s="36" t="n"/>
      <c r="K44" s="37" t="n"/>
    </row>
    <row r="45" ht="30" customHeight="1">
      <c r="A45" s="32" t="n">
        <v>41</v>
      </c>
      <c r="B45" s="33">
        <f>使い方!$B$5-28</f>
        <v/>
      </c>
      <c r="C45" s="34">
        <f>CHOOSE(WEEKDAY(B45),"日","月","火","水","木","金","土")</f>
        <v/>
      </c>
      <c r="D45" s="35" t="inlineStr">
        <is>
          <t>4週前</t>
        </is>
      </c>
      <c r="E45" s="26" t="inlineStr">
        <is>
          <t>G 盆栽ボランティアの準備</t>
        </is>
      </c>
      <c r="F45" s="10" t="inlineStr">
        <is>
          <t>道具をそろえる</t>
        </is>
      </c>
      <c r="G45" s="26" t="inlineStr">
        <is>
          <t>剪定ばさみ（人数分は要りません。3〜4本を回す）／ピンセット／じょうろ／園芸用の針金／割り箸／土入れ</t>
        </is>
      </c>
      <c r="H45" s="27" t="n"/>
      <c r="I45" s="27" t="inlineStr">
        <is>
          <t>未着手</t>
        </is>
      </c>
      <c r="J45" s="36" t="n"/>
      <c r="K45" s="37" t="inlineStr">
        <is>
          <t>予算計上なし。手持ちや借用でまかなう</t>
        </is>
      </c>
    </row>
    <row r="46" ht="30" customHeight="1">
      <c r="A46" s="32" t="n">
        <v>42</v>
      </c>
      <c r="B46" s="33">
        <f>使い方!$B$5-28</f>
        <v/>
      </c>
      <c r="C46" s="34">
        <f>CHOOSE(WEEKDAY(B46),"日","月","火","水","木","金","土")</f>
        <v/>
      </c>
      <c r="D46" s="35" t="inlineStr">
        <is>
          <t>4週前</t>
        </is>
      </c>
      <c r="E46" s="26" t="inlineStr">
        <is>
          <t>H 災ボラ体験の資料</t>
        </is>
      </c>
      <c r="F46" s="10" t="inlineStr">
        <is>
          <t>ボランティア受付票を必要部数印刷する</t>
        </is>
      </c>
      <c r="G46" s="26" t="n"/>
      <c r="H46" s="27" t="n"/>
      <c r="I46" s="27" t="inlineStr">
        <is>
          <t>未着手</t>
        </is>
      </c>
      <c r="J46" s="36" t="n"/>
      <c r="K46" s="37" t="n"/>
    </row>
    <row r="47" ht="30" customHeight="1">
      <c r="A47" s="32" t="n">
        <v>43</v>
      </c>
      <c r="B47" s="33">
        <f>使い方!$B$5-28</f>
        <v/>
      </c>
      <c r="C47" s="34">
        <f>CHOOSE(WEEKDAY(B47),"日","月","火","水","木","金","土")</f>
        <v/>
      </c>
      <c r="D47" s="35" t="inlineStr">
        <is>
          <t>4週前</t>
        </is>
      </c>
      <c r="E47" s="26" t="inlineStr">
        <is>
          <t>H 災ボラ体験の資料</t>
        </is>
      </c>
      <c r="F47" s="10" t="inlineStr">
        <is>
          <t>ニーズ受付票を印刷し、想定の事例を5〜8件つくる</t>
        </is>
      </c>
      <c r="G47" s="26" t="inlineStr">
        <is>
          <t>大郷町で実際に起こりうる困りごとで。「二階まで水が来た」「ひとり暮らしで家財が出せない」など、地名を入れると急に自分ごとになります</t>
        </is>
      </c>
      <c r="H47" s="27" t="n"/>
      <c r="I47" s="27" t="inlineStr">
        <is>
          <t>未着手</t>
        </is>
      </c>
      <c r="J47" s="36" t="n"/>
      <c r="K47" s="37" t="n"/>
    </row>
    <row r="48" ht="30" customHeight="1">
      <c r="A48" s="32" t="n">
        <v>44</v>
      </c>
      <c r="B48" s="33">
        <f>使い方!$B$5-28</f>
        <v/>
      </c>
      <c r="C48" s="34">
        <f>CHOOSE(WEEKDAY(B48),"日","月","火","水","木","金","土")</f>
        <v/>
      </c>
      <c r="D48" s="35" t="inlineStr">
        <is>
          <t>4週前</t>
        </is>
      </c>
      <c r="E48" s="26" t="inlineStr">
        <is>
          <t>H 災ボラ体験の資料</t>
        </is>
      </c>
      <c r="F48" s="10" t="inlineStr">
        <is>
          <t>防災士へ依頼文を出し、来てくれる人と当日の役割を決める</t>
        </is>
      </c>
      <c r="G48" s="26" t="inlineStr">
        <is>
          <t>役割の案：資機材の説明、マッチング体験の進行、受付の補助。何人来られるかで自由見学のコーナー数が決まります</t>
        </is>
      </c>
      <c r="H48" s="27" t="n"/>
      <c r="I48" s="27" t="inlineStr">
        <is>
          <t>未着手</t>
        </is>
      </c>
      <c r="J48" s="36" t="n"/>
      <c r="K48" s="37" t="inlineStr">
        <is>
          <t>4週前（11/17）までに人数を確定する</t>
        </is>
      </c>
    </row>
    <row r="49" ht="30" customHeight="1">
      <c r="A49" s="32" t="n">
        <v>45</v>
      </c>
      <c r="B49" s="33">
        <f>使い方!$B$5-21</f>
        <v/>
      </c>
      <c r="C49" s="34">
        <f>CHOOSE(WEEKDAY(B49),"日","月","火","水","木","金","土")</f>
        <v/>
      </c>
      <c r="D49" s="35" t="inlineStr">
        <is>
          <t>3週前</t>
        </is>
      </c>
      <c r="E49" s="26" t="inlineStr">
        <is>
          <t>A 会場をおさえる</t>
        </is>
      </c>
      <c r="F49" s="10" t="inlineStr">
        <is>
          <t>当日は9:00開場のため、8:30に鍵を開けられるか確認する</t>
        </is>
      </c>
      <c r="G49" s="26" t="inlineStr">
        <is>
          <t>職員集合は8:30。鍵の受け取り方と、当日の連絡先もあわせて</t>
        </is>
      </c>
      <c r="H49" s="27" t="n"/>
      <c r="I49" s="27" t="inlineStr">
        <is>
          <t>未着手</t>
        </is>
      </c>
      <c r="J49" s="36" t="n"/>
      <c r="K49" s="37" t="n"/>
    </row>
    <row r="50" ht="30" customHeight="1">
      <c r="A50" s="32" t="n">
        <v>46</v>
      </c>
      <c r="B50" s="33">
        <f>使い方!$B$5-21</f>
        <v/>
      </c>
      <c r="C50" s="34">
        <f>CHOOSE(WEEKDAY(B50),"日","月","火","水","木","金","土")</f>
        <v/>
      </c>
      <c r="D50" s="35" t="inlineStr">
        <is>
          <t>3週前</t>
        </is>
      </c>
      <c r="E50" s="26" t="inlineStr">
        <is>
          <t>B 事務の手続き</t>
        </is>
      </c>
      <c r="F50" s="10" t="inlineStr">
        <is>
          <t>個人情報の扱いを決める</t>
        </is>
      </c>
      <c r="G50" s="26" t="inlineStr">
        <is>
          <t>参加者カードの保管場所・保管期間・持ち出しの可否。世話人・協力者にも書面で説明</t>
        </is>
      </c>
      <c r="H50" s="27" t="n"/>
      <c r="I50" s="27" t="inlineStr">
        <is>
          <t>未着手</t>
        </is>
      </c>
      <c r="J50" s="36" t="n"/>
      <c r="K50" s="37" t="n"/>
    </row>
    <row r="51" ht="30" customHeight="1">
      <c r="A51" s="32" t="n">
        <v>47</v>
      </c>
      <c r="B51" s="33">
        <f>使い方!$B$5-21</f>
        <v/>
      </c>
      <c r="C51" s="34">
        <f>CHOOSE(WEEKDAY(B51),"日","月","火","水","木","金","土")</f>
        <v/>
      </c>
      <c r="D51" s="35" t="inlineStr">
        <is>
          <t>3週前</t>
        </is>
      </c>
      <c r="E51" s="26" t="inlineStr">
        <is>
          <t>B 事務の手続き</t>
        </is>
      </c>
      <c r="F51" s="10" t="inlineStr">
        <is>
          <t>写真撮影の同意の取り方を決める</t>
        </is>
      </c>
      <c r="G51" s="26" t="inlineStr">
        <is>
          <t>受付での口頭確認と、会場の掲示。写りたくない方の名札に印をつける方法まで</t>
        </is>
      </c>
      <c r="H51" s="27" t="n"/>
      <c r="I51" s="27" t="inlineStr">
        <is>
          <t>未着手</t>
        </is>
      </c>
      <c r="J51" s="36" t="n"/>
      <c r="K51" s="37" t="n"/>
    </row>
    <row r="52" ht="30" customHeight="1">
      <c r="A52" s="32" t="n">
        <v>48</v>
      </c>
      <c r="B52" s="33">
        <f>使い方!$B$5-21</f>
        <v/>
      </c>
      <c r="C52" s="34">
        <f>CHOOSE(WEEKDAY(B52),"日","月","火","水","木","金","土")</f>
        <v/>
      </c>
      <c r="D52" s="35" t="inlineStr">
        <is>
          <t>3週前</t>
        </is>
      </c>
      <c r="E52" s="26" t="inlineStr">
        <is>
          <t>C チラシと広報</t>
        </is>
      </c>
      <c r="F52" s="10" t="inlineStr">
        <is>
          <t>掲示をお願いして回る</t>
        </is>
      </c>
      <c r="G52" s="26" t="inlineStr">
        <is>
          <t>公民館／支所／診療所／商店／郵便局／スーパー／温泉施設／集会所</t>
        </is>
      </c>
      <c r="H52" s="27" t="n"/>
      <c r="I52" s="27" t="inlineStr">
        <is>
          <t>未着手</t>
        </is>
      </c>
      <c r="J52" s="36" t="n"/>
      <c r="K52" s="37" t="n"/>
    </row>
    <row r="53" ht="30" customHeight="1">
      <c r="A53" s="32" t="n">
        <v>49</v>
      </c>
      <c r="B53" s="33">
        <f>使い方!$B$5-21</f>
        <v/>
      </c>
      <c r="C53" s="34">
        <f>CHOOSE(WEEKDAY(B53),"日","月","火","水","木","金","土")</f>
        <v/>
      </c>
      <c r="D53" s="35" t="inlineStr">
        <is>
          <t>3週前</t>
        </is>
      </c>
      <c r="E53" s="26" t="inlineStr">
        <is>
          <t>C チラシと広報</t>
        </is>
      </c>
      <c r="F53" s="10" t="inlineStr">
        <is>
          <t>直接声をかける（まず20人）</t>
        </is>
      </c>
      <c r="G53" s="26" t="inlineStr">
        <is>
          <t>ボランティア入門講座の修了者／サロン参加者／登録ボランティア。名簿を見ながら、電話か手渡しで</t>
        </is>
      </c>
      <c r="H53" s="27" t="n"/>
      <c r="I53" s="27" t="inlineStr">
        <is>
          <t>未着手</t>
        </is>
      </c>
      <c r="J53" s="36" t="n"/>
      <c r="K53" s="37" t="n"/>
    </row>
    <row r="54" ht="30" customHeight="1">
      <c r="A54" s="32" t="n">
        <v>50</v>
      </c>
      <c r="B54" s="33">
        <f>使い方!$B$5-21</f>
        <v/>
      </c>
      <c r="C54" s="34">
        <f>CHOOSE(WEEKDAY(B54),"日","月","火","水","木","金","土")</f>
        <v/>
      </c>
      <c r="D54" s="35" t="inlineStr">
        <is>
          <t>3週前</t>
        </is>
      </c>
      <c r="E54" s="26" t="inlineStr">
        <is>
          <t>C チラシと広報</t>
        </is>
      </c>
      <c r="F54" s="10" t="inlineStr">
        <is>
          <t>民生委員児童委員・地区社協・地域包括支援センターへ情報提供</t>
        </is>
      </c>
      <c r="G54" s="26" t="inlineStr">
        <is>
          <t>気になっている方に声をかけてもらう。「誘ってあげてください」と具体的に頼む</t>
        </is>
      </c>
      <c r="H54" s="27" t="n"/>
      <c r="I54" s="27" t="inlineStr">
        <is>
          <t>未着手</t>
        </is>
      </c>
      <c r="J54" s="36" t="n"/>
      <c r="K54" s="37" t="n"/>
    </row>
    <row r="55" ht="30" customHeight="1">
      <c r="A55" s="32" t="n">
        <v>51</v>
      </c>
      <c r="B55" s="33">
        <f>使い方!$B$5-21</f>
        <v/>
      </c>
      <c r="C55" s="34">
        <f>CHOOSE(WEEKDAY(B55),"日","月","火","水","木","金","土")</f>
        <v/>
      </c>
      <c r="D55" s="35" t="inlineStr">
        <is>
          <t>3週前</t>
        </is>
      </c>
      <c r="E55" s="26" t="inlineStr">
        <is>
          <t>C チラシと広報</t>
        </is>
      </c>
      <c r="F55" s="10" t="inlineStr">
        <is>
          <t>ホームページ・SNSに掲載する</t>
        </is>
      </c>
      <c r="G55" s="26" t="n"/>
      <c r="H55" s="27" t="n"/>
      <c r="I55" s="27" t="inlineStr">
        <is>
          <t>未着手</t>
        </is>
      </c>
      <c r="J55" s="36" t="n"/>
      <c r="K55" s="37" t="n"/>
    </row>
    <row r="56" ht="30" customHeight="1">
      <c r="A56" s="32" t="n">
        <v>52</v>
      </c>
      <c r="B56" s="33">
        <f>使い方!$B$5-21</f>
        <v/>
      </c>
      <c r="C56" s="34">
        <f>CHOOSE(WEEKDAY(B56),"日","月","火","水","木","金","土")</f>
        <v/>
      </c>
      <c r="D56" s="35" t="inlineStr">
        <is>
          <t>3週前</t>
        </is>
      </c>
      <c r="E56" s="26" t="inlineStr">
        <is>
          <t>D 参加記念品</t>
        </is>
      </c>
      <c r="F56" s="10" t="inlineStr">
        <is>
          <t>納品を確認し、数を数える</t>
        </is>
      </c>
      <c r="G56" s="26" t="n"/>
      <c r="H56" s="27" t="n"/>
      <c r="I56" s="27" t="inlineStr">
        <is>
          <t>未着手</t>
        </is>
      </c>
      <c r="J56" s="36" t="n"/>
      <c r="K56" s="37" t="n"/>
    </row>
    <row r="57" ht="30" customHeight="1">
      <c r="A57" s="32" t="n">
        <v>53</v>
      </c>
      <c r="B57" s="33">
        <f>使い方!$B$5-21</f>
        <v/>
      </c>
      <c r="C57" s="34">
        <f>CHOOSE(WEEKDAY(B57),"日","月","火","水","木","金","土")</f>
        <v/>
      </c>
      <c r="D57" s="35" t="inlineStr">
        <is>
          <t>3週前</t>
        </is>
      </c>
      <c r="E57" s="26" t="inlineStr">
        <is>
          <t>F 会場に貼る表示物</t>
        </is>
      </c>
      <c r="F57" s="10" t="inlineStr">
        <is>
          <t>建物の入口から会場までの順路表示（矢印を3枚以上）</t>
        </is>
      </c>
      <c r="G57" s="26" t="inlineStr">
        <is>
          <t>はじめての方は、入口で引き返します。外の道路からの1枚目がいちばん大事</t>
        </is>
      </c>
      <c r="H57" s="27" t="n"/>
      <c r="I57" s="27" t="inlineStr">
        <is>
          <t>未着手</t>
        </is>
      </c>
      <c r="J57" s="36" t="n"/>
      <c r="K57" s="37" t="n"/>
    </row>
    <row r="58" ht="30" customHeight="1">
      <c r="A58" s="32" t="n">
        <v>54</v>
      </c>
      <c r="B58" s="33">
        <f>使い方!$B$5-21</f>
        <v/>
      </c>
      <c r="C58" s="34">
        <f>CHOOSE(WEEKDAY(B58),"日","月","火","水","木","金","土")</f>
        <v/>
      </c>
      <c r="D58" s="35" t="inlineStr">
        <is>
          <t>3週前</t>
        </is>
      </c>
      <c r="E58" s="26" t="inlineStr">
        <is>
          <t>F 会場に貼る表示物</t>
        </is>
      </c>
      <c r="F58" s="10" t="inlineStr">
        <is>
          <t>受付の看板「ボランティアカフェ 受付」</t>
        </is>
      </c>
      <c r="G58" s="26" t="n"/>
      <c r="H58" s="27" t="n"/>
      <c r="I58" s="27" t="inlineStr">
        <is>
          <t>未着手</t>
        </is>
      </c>
      <c r="J58" s="36" t="n"/>
      <c r="K58" s="37" t="n"/>
    </row>
    <row r="59" ht="30" customHeight="1">
      <c r="A59" s="32" t="n">
        <v>55</v>
      </c>
      <c r="B59" s="33">
        <f>使い方!$B$5-21</f>
        <v/>
      </c>
      <c r="C59" s="34">
        <f>CHOOSE(WEEKDAY(B59),"日","月","火","水","木","金","土")</f>
        <v/>
      </c>
      <c r="D59" s="35" t="inlineStr">
        <is>
          <t>3週前</t>
        </is>
      </c>
      <c r="E59" s="26" t="inlineStr">
        <is>
          <t>F 会場に貼る表示物</t>
        </is>
      </c>
      <c r="F59" s="10" t="inlineStr">
        <is>
          <t>本日の流れ（90分の進行を大きく1枚）</t>
        </is>
      </c>
      <c r="G59" s="26" t="inlineStr">
        <is>
          <t>途中から来た方が、見れば分かるように</t>
        </is>
      </c>
      <c r="H59" s="27" t="n"/>
      <c r="I59" s="27" t="inlineStr">
        <is>
          <t>未着手</t>
        </is>
      </c>
      <c r="J59" s="36" t="n"/>
      <c r="K59" s="37" t="n"/>
    </row>
    <row r="60" ht="30" customHeight="1">
      <c r="A60" s="32" t="n">
        <v>56</v>
      </c>
      <c r="B60" s="33">
        <f>使い方!$B$5-21</f>
        <v/>
      </c>
      <c r="C60" s="34">
        <f>CHOOSE(WEEKDAY(B60),"日","月","火","水","木","金","土")</f>
        <v/>
      </c>
      <c r="D60" s="35" t="inlineStr">
        <is>
          <t>3週前</t>
        </is>
      </c>
      <c r="E60" s="26" t="inlineStr">
        <is>
          <t>F 会場に貼る表示物</t>
        </is>
      </c>
      <c r="F60" s="10" t="inlineStr">
        <is>
          <t>テーブル番号（1〜4）</t>
        </is>
      </c>
      <c r="G60" s="26" t="n"/>
      <c r="H60" s="27" t="n"/>
      <c r="I60" s="27" t="inlineStr">
        <is>
          <t>未着手</t>
        </is>
      </c>
      <c r="J60" s="36" t="n"/>
      <c r="K60" s="37" t="n"/>
    </row>
    <row r="61" ht="30" customHeight="1">
      <c r="A61" s="32" t="n">
        <v>57</v>
      </c>
      <c r="B61" s="33">
        <f>使い方!$B$5-21</f>
        <v/>
      </c>
      <c r="C61" s="34">
        <f>CHOOSE(WEEKDAY(B61),"日","月","火","水","木","金","土")</f>
        <v/>
      </c>
      <c r="D61" s="35" t="inlineStr">
        <is>
          <t>3週前</t>
        </is>
      </c>
      <c r="E61" s="26" t="inlineStr">
        <is>
          <t>F 会場に貼る表示物</t>
        </is>
      </c>
      <c r="F61" s="10" t="inlineStr">
        <is>
          <t>「写真を撮ります。写りたくない方は受付でお申し出ください」の掲示</t>
        </is>
      </c>
      <c r="G61" s="26" t="n"/>
      <c r="H61" s="27" t="n"/>
      <c r="I61" s="27" t="inlineStr">
        <is>
          <t>未着手</t>
        </is>
      </c>
      <c r="J61" s="36" t="n"/>
      <c r="K61" s="37" t="n"/>
    </row>
    <row r="62" ht="30" customHeight="1">
      <c r="A62" s="32" t="n">
        <v>58</v>
      </c>
      <c r="B62" s="33">
        <f>使い方!$B$5-21</f>
        <v/>
      </c>
      <c r="C62" s="34">
        <f>CHOOSE(WEEKDAY(B62),"日","月","火","水","木","金","土")</f>
        <v/>
      </c>
      <c r="D62" s="35" t="inlineStr">
        <is>
          <t>3週前</t>
        </is>
      </c>
      <c r="E62" s="26" t="inlineStr">
        <is>
          <t>G 盆栽ボランティアの準備</t>
        </is>
      </c>
      <c r="F62" s="10" t="inlineStr">
        <is>
          <t>汚れ対策をそろえる</t>
        </is>
      </c>
      <c r="G62" s="26" t="inlineStr">
        <is>
          <t>ブルーシート／新聞紙／テーブルに敷くもの／雑巾／バケツ／ほうきとちりとり</t>
        </is>
      </c>
      <c r="H62" s="27" t="n"/>
      <c r="I62" s="27" t="inlineStr">
        <is>
          <t>未着手</t>
        </is>
      </c>
      <c r="J62" s="36" t="n"/>
      <c r="K62" s="37" t="n"/>
    </row>
    <row r="63" ht="30" customHeight="1">
      <c r="A63" s="32" t="n">
        <v>59</v>
      </c>
      <c r="B63" s="33">
        <f>使い方!$B$5-21</f>
        <v/>
      </c>
      <c r="C63" s="34">
        <f>CHOOSE(WEEKDAY(B63),"日","月","火","水","木","金","土")</f>
        <v/>
      </c>
      <c r="D63" s="35" t="inlineStr">
        <is>
          <t>3週前</t>
        </is>
      </c>
      <c r="E63" s="26" t="inlineStr">
        <is>
          <t>G 盆栽ボランティアの準備</t>
        </is>
      </c>
      <c r="F63" s="10" t="inlineStr">
        <is>
          <t>軍手（人数分＋予備5）</t>
        </is>
      </c>
      <c r="G63" s="26" t="inlineStr">
        <is>
          <t>手の汚れを気にして参加をやめる方がいます。軍手は必ず余分に</t>
        </is>
      </c>
      <c r="H63" s="27" t="n"/>
      <c r="I63" s="27" t="inlineStr">
        <is>
          <t>未着手</t>
        </is>
      </c>
      <c r="J63" s="36" t="n"/>
      <c r="K63" s="37" t="n"/>
    </row>
    <row r="64" ht="30" customHeight="1">
      <c r="A64" s="32" t="n">
        <v>60</v>
      </c>
      <c r="B64" s="33">
        <f>使い方!$B$5-21</f>
        <v/>
      </c>
      <c r="C64" s="34">
        <f>CHOOSE(WEEKDAY(B64),"日","月","火","水","木","金","土")</f>
        <v/>
      </c>
      <c r="D64" s="35" t="inlineStr">
        <is>
          <t>3週前</t>
        </is>
      </c>
      <c r="E64" s="26" t="inlineStr">
        <is>
          <t>G 盆栽ボランティアの準備</t>
        </is>
      </c>
      <c r="F64" s="10" t="inlineStr">
        <is>
          <t>手洗い場所と、そこまでの動線を決める</t>
        </is>
      </c>
      <c r="G64" s="26" t="inlineStr">
        <is>
          <t>土のついた手で歩く道すじに、新聞紙を敷いておく</t>
        </is>
      </c>
      <c r="H64" s="27" t="n"/>
      <c r="I64" s="27" t="inlineStr">
        <is>
          <t>未着手</t>
        </is>
      </c>
      <c r="J64" s="36" t="n"/>
      <c r="K64" s="37" t="n"/>
    </row>
    <row r="65" ht="30" customHeight="1">
      <c r="A65" s="32" t="n">
        <v>61</v>
      </c>
      <c r="B65" s="33">
        <f>使い方!$B$5-21</f>
        <v/>
      </c>
      <c r="C65" s="34">
        <f>CHOOSE(WEEKDAY(B65),"日","月","火","水","木","金","土")</f>
        <v/>
      </c>
      <c r="D65" s="35" t="inlineStr">
        <is>
          <t>3週前</t>
        </is>
      </c>
      <c r="E65" s="26" t="inlineStr">
        <is>
          <t>H 災ボラ体験の資料</t>
        </is>
      </c>
      <c r="F65" s="10" t="inlineStr">
        <is>
          <t>マッチング用のボードをつくる</t>
        </is>
      </c>
      <c r="G65" s="26" t="inlineStr">
        <is>
          <t>模造紙とカード、マグネットかマスキングテープ。人数と作業内容を貼り合わせる形に</t>
        </is>
      </c>
      <c r="H65" s="27" t="n"/>
      <c r="I65" s="27" t="inlineStr">
        <is>
          <t>未着手</t>
        </is>
      </c>
      <c r="J65" s="36" t="n"/>
      <c r="K65" s="37" t="n"/>
    </row>
    <row r="66" ht="30" customHeight="1">
      <c r="A66" s="32" t="n">
        <v>62</v>
      </c>
      <c r="B66" s="33">
        <f>使い方!$B$5-21</f>
        <v/>
      </c>
      <c r="C66" s="34">
        <f>CHOOSE(WEEKDAY(B66),"日","月","火","水","木","金","土")</f>
        <v/>
      </c>
      <c r="D66" s="35" t="inlineStr">
        <is>
          <t>3週前</t>
        </is>
      </c>
      <c r="E66" s="26" t="inlineStr">
        <is>
          <t>H 災ボラ体験の資料</t>
        </is>
      </c>
      <c r="F66" s="10" t="inlineStr">
        <is>
          <t>役割の名札をつくる</t>
        </is>
      </c>
      <c r="G66" s="26" t="inlineStr">
        <is>
          <t>受付／ニーズ／マッチング／資材／送り出し。首から下げる形にすると、役になりきれます</t>
        </is>
      </c>
      <c r="H66" s="27" t="n"/>
      <c r="I66" s="27" t="inlineStr">
        <is>
          <t>未着手</t>
        </is>
      </c>
      <c r="J66" s="36" t="n"/>
      <c r="K66" s="37" t="n"/>
    </row>
    <row r="67" ht="30" customHeight="1">
      <c r="A67" s="32" t="n">
        <v>63</v>
      </c>
      <c r="B67" s="33">
        <f>使い方!$B$5-21</f>
        <v/>
      </c>
      <c r="C67" s="34">
        <f>CHOOSE(WEEKDAY(B67),"日","月","火","水","木","金","土")</f>
        <v/>
      </c>
      <c r="D67" s="35" t="inlineStr">
        <is>
          <t>3週前</t>
        </is>
      </c>
      <c r="E67" s="26" t="inlineStr">
        <is>
          <t>H 災ボラ体験の資料</t>
        </is>
      </c>
      <c r="F67" s="10" t="inlineStr">
        <is>
          <t>資機材の見本を1つずつ用意する</t>
        </is>
      </c>
      <c r="G67" s="26" t="inlineStr">
        <is>
          <t>スコップ／土のう袋／長靴／軍手／ヘルメット／一輪車。写真より、本物が1つあるほうが伝わります</t>
        </is>
      </c>
      <c r="H67" s="27" t="n"/>
      <c r="I67" s="27" t="inlineStr">
        <is>
          <t>未着手</t>
        </is>
      </c>
      <c r="J67" s="36" t="n"/>
      <c r="K67" s="37" t="n"/>
    </row>
    <row r="68" ht="30" customHeight="1">
      <c r="A68" s="32" t="n">
        <v>64</v>
      </c>
      <c r="B68" s="33">
        <f>使い方!$B$5-21</f>
        <v/>
      </c>
      <c r="C68" s="34">
        <f>CHOOSE(WEEKDAY(B68),"日","月","火","水","木","金","土")</f>
        <v/>
      </c>
      <c r="D68" s="35" t="inlineStr">
        <is>
          <t>3週前</t>
        </is>
      </c>
      <c r="E68" s="26" t="inlineStr">
        <is>
          <t>H 災ボラ体験の資料</t>
        </is>
      </c>
      <c r="F68" s="10" t="inlineStr">
        <is>
          <t>説明用の掲示をつくる</t>
        </is>
      </c>
      <c r="G68" s="26" t="inlineStr">
        <is>
          <t>「大郷町で災害が起きたら、災害ボランティアセンターはどこに、いつ立ち上がるか」を1枚に</t>
        </is>
      </c>
      <c r="H68" s="27" t="n"/>
      <c r="I68" s="27" t="inlineStr">
        <is>
          <t>未着手</t>
        </is>
      </c>
      <c r="J68" s="36" t="n"/>
      <c r="K68" s="37" t="n"/>
    </row>
    <row r="69" ht="30" customHeight="1">
      <c r="A69" s="32" t="n">
        <v>65</v>
      </c>
      <c r="B69" s="33">
        <f>使い方!$B$5-21</f>
        <v/>
      </c>
      <c r="C69" s="34">
        <f>CHOOSE(WEEKDAY(B69),"日","月","火","水","木","金","土")</f>
        <v/>
      </c>
      <c r="D69" s="35" t="inlineStr">
        <is>
          <t>3週前</t>
        </is>
      </c>
      <c r="E69" s="26" t="inlineStr">
        <is>
          <t>H 災ボラ体験の資料</t>
        </is>
      </c>
      <c r="F69" s="10" t="inlineStr">
        <is>
          <t>ボランティア活動保険の説明資料と加入用紙を用意する</t>
        </is>
      </c>
      <c r="G69" s="26" t="n"/>
      <c r="H69" s="27" t="n"/>
      <c r="I69" s="27" t="inlineStr">
        <is>
          <t>未着手</t>
        </is>
      </c>
      <c r="J69" s="36" t="n"/>
      <c r="K69" s="37" t="n"/>
    </row>
    <row r="70" ht="30" customHeight="1">
      <c r="A70" s="32" t="n">
        <v>66</v>
      </c>
      <c r="B70" s="33">
        <f>使い方!$B$5-21</f>
        <v/>
      </c>
      <c r="C70" s="34">
        <f>CHOOSE(WEEKDAY(B70),"日","月","火","水","木","金","土")</f>
        <v/>
      </c>
      <c r="D70" s="35" t="inlineStr">
        <is>
          <t>3週前</t>
        </is>
      </c>
      <c r="E70" s="26" t="inlineStr">
        <is>
          <t>H 災ボラ体験の資料</t>
        </is>
      </c>
      <c r="F70" s="10" t="inlineStr">
        <is>
          <t>講座の資料・スライドをつくる</t>
        </is>
      </c>
      <c r="G70" s="26" t="inlineStr">
        <is>
          <t>配布資料は文字を大きく。60分は長いので、途中に手を動かす時間か問いかけを入れる</t>
        </is>
      </c>
      <c r="H70" s="27" t="n"/>
      <c r="I70" s="27" t="inlineStr">
        <is>
          <t>未着手</t>
        </is>
      </c>
      <c r="J70" s="36" t="n"/>
      <c r="K70" s="37" t="n"/>
    </row>
    <row r="71" ht="30" customHeight="1">
      <c r="A71" s="32" t="n">
        <v>67</v>
      </c>
      <c r="B71" s="33">
        <f>使い方!$B$5-21</f>
        <v/>
      </c>
      <c r="C71" s="34">
        <f>CHOOSE(WEEKDAY(B71),"日","月","火","水","木","金","土")</f>
        <v/>
      </c>
      <c r="D71" s="35" t="inlineStr">
        <is>
          <t>3週前</t>
        </is>
      </c>
      <c r="E71" s="26" t="inlineStr">
        <is>
          <t>K 体験・展示コーナーの準備</t>
        </is>
      </c>
      <c r="F71" s="10" t="inlineStr">
        <is>
          <t>段ボールベッドの受け取り・運搬・返却の段取りを決める</t>
        </is>
      </c>
      <c r="G71" s="26" t="inlineStr">
        <is>
          <t>前日12/14の準備に間に合うように。かさばるので、運ぶ車と置き場所を先に決めておく</t>
        </is>
      </c>
      <c r="H71" s="27" t="n"/>
      <c r="I71" s="27" t="inlineStr">
        <is>
          <t>未着手</t>
        </is>
      </c>
      <c r="J71" s="36" t="n"/>
      <c r="K71" s="37" t="n"/>
    </row>
    <row r="72" ht="30" customHeight="1">
      <c r="A72" s="32" t="n">
        <v>68</v>
      </c>
      <c r="B72" s="33">
        <f>使い方!$B$5-21</f>
        <v/>
      </c>
      <c r="C72" s="34">
        <f>CHOOSE(WEEKDAY(B72),"日","月","火","水","木","金","土")</f>
        <v/>
      </c>
      <c r="D72" s="35" t="inlineStr">
        <is>
          <t>3週前</t>
        </is>
      </c>
      <c r="E72" s="26" t="inlineStr">
        <is>
          <t>K 体験・展示コーナーの準備</t>
        </is>
      </c>
      <c r="F72" s="10" t="inlineStr">
        <is>
          <t>段ボールベッドの組み立て手順を、大きく1枚に書き出す</t>
        </is>
      </c>
      <c r="G72" s="26" t="inlineStr">
        <is>
          <t>写真かイラストで3〜4ステップ。コーナーに貼っておけば、職員がつきっきりにならずにすみます</t>
        </is>
      </c>
      <c r="H72" s="27" t="n"/>
      <c r="I72" s="27" t="inlineStr">
        <is>
          <t>未着手</t>
        </is>
      </c>
      <c r="J72" s="36" t="n"/>
      <c r="K72" s="37" t="n"/>
    </row>
    <row r="73" ht="30" customHeight="1">
      <c r="A73" s="32" t="n">
        <v>69</v>
      </c>
      <c r="B73" s="33">
        <f>使い方!$B$5-21</f>
        <v/>
      </c>
      <c r="C73" s="34">
        <f>CHOOSE(WEEKDAY(B73),"日","月","火","水","木","金","土")</f>
        <v/>
      </c>
      <c r="D73" s="35" t="inlineStr">
        <is>
          <t>3週前</t>
        </is>
      </c>
      <c r="E73" s="26" t="inlineStr">
        <is>
          <t>K 体験・展示コーナーの準備</t>
        </is>
      </c>
      <c r="F73" s="10" t="inlineStr">
        <is>
          <t>防災グッズと防災バッグの並べ方を決め、説明札をつくる</t>
        </is>
      </c>
      <c r="G73" s="26" t="inlineStr">
        <is>
          <t>バッグの中身は出して並べる。一つずつに「なぜ要るか」を一言そえると、見るだけで学びになります</t>
        </is>
      </c>
      <c r="H73" s="27" t="n"/>
      <c r="I73" s="27" t="inlineStr">
        <is>
          <t>未着手</t>
        </is>
      </c>
      <c r="J73" s="36" t="n"/>
      <c r="K73" s="37" t="n"/>
    </row>
    <row r="74" ht="30" customHeight="1">
      <c r="A74" s="32" t="n">
        <v>70</v>
      </c>
      <c r="B74" s="33">
        <f>使い方!$B$5-21</f>
        <v/>
      </c>
      <c r="C74" s="34">
        <f>CHOOSE(WEEKDAY(B74),"日","月","火","水","木","金","土")</f>
        <v/>
      </c>
      <c r="D74" s="35" t="inlineStr">
        <is>
          <t>3週前</t>
        </is>
      </c>
      <c r="E74" s="26" t="inlineStr">
        <is>
          <t>K 体験・展示コーナーの準備</t>
        </is>
      </c>
      <c r="F74" s="10" t="inlineStr">
        <is>
          <t>配食ボランティアの紹介パネル・写真を用意する</t>
        </is>
      </c>
      <c r="G74" s="26" t="inlineStr">
        <is>
          <t>活動のようすが分かる写真を数枚。町の活動紹介のコーナーにまとめて貼る</t>
        </is>
      </c>
      <c r="H74" s="27" t="n"/>
      <c r="I74" s="27" t="inlineStr">
        <is>
          <t>未着手</t>
        </is>
      </c>
      <c r="J74" s="36" t="n"/>
      <c r="K74" s="37" t="n"/>
    </row>
    <row r="75" ht="30" customHeight="1">
      <c r="A75" s="32" t="n">
        <v>71</v>
      </c>
      <c r="B75" s="33">
        <f>使い方!$B$5-14</f>
        <v/>
      </c>
      <c r="C75" s="34">
        <f>CHOOSE(WEEKDAY(B75),"日","月","火","水","木","金","土")</f>
        <v/>
      </c>
      <c r="D75" s="35" t="inlineStr">
        <is>
          <t>2週前</t>
        </is>
      </c>
      <c r="E75" s="26" t="inlineStr">
        <is>
          <t>A 会場をおさえる</t>
        </is>
      </c>
      <c r="F75" s="10" t="inlineStr">
        <is>
          <t>レイアウト図をつくる</t>
        </is>
      </c>
      <c r="G75" s="26" t="inlineStr">
        <is>
          <t>受付／テーブル4つ／盆栽コーナー／災ボラ体験コーナー／給湯・ゴミ／記念品の置き場</t>
        </is>
      </c>
      <c r="H75" s="27" t="n"/>
      <c r="I75" s="27" t="inlineStr">
        <is>
          <t>未着手</t>
        </is>
      </c>
      <c r="J75" s="36" t="n"/>
      <c r="K75" s="37" t="n"/>
    </row>
    <row r="76" ht="30" customHeight="1">
      <c r="A76" s="32" t="n">
        <v>72</v>
      </c>
      <c r="B76" s="33">
        <f>使い方!$B$5-14</f>
        <v/>
      </c>
      <c r="C76" s="34">
        <f>CHOOSE(WEEKDAY(B76),"日","月","火","水","木","金","土")</f>
        <v/>
      </c>
      <c r="D76" s="35" t="inlineStr">
        <is>
          <t>2週前</t>
        </is>
      </c>
      <c r="E76" s="26" t="inlineStr">
        <is>
          <t>B 事務の手続き</t>
        </is>
      </c>
      <c r="F76" s="10" t="inlineStr">
        <is>
          <t>食物アレルギーの対応を決める</t>
        </is>
      </c>
      <c r="G76" s="26" t="inlineStr">
        <is>
          <t>お菓子は個包装で、表示のあるものを。空袋を当日まで残しておく</t>
        </is>
      </c>
      <c r="H76" s="27" t="n"/>
      <c r="I76" s="27" t="inlineStr">
        <is>
          <t>未着手</t>
        </is>
      </c>
      <c r="J76" s="36" t="n"/>
      <c r="K76" s="37" t="n"/>
    </row>
    <row r="77" ht="30" customHeight="1">
      <c r="A77" s="32" t="n">
        <v>73</v>
      </c>
      <c r="B77" s="33">
        <f>使い方!$B$5-14</f>
        <v/>
      </c>
      <c r="C77" s="34">
        <f>CHOOSE(WEEKDAY(B77),"日","月","火","水","木","金","土")</f>
        <v/>
      </c>
      <c r="D77" s="35" t="inlineStr">
        <is>
          <t>2週前</t>
        </is>
      </c>
      <c r="E77" s="26" t="inlineStr">
        <is>
          <t>D 参加記念品</t>
        </is>
      </c>
      <c r="F77" s="10" t="inlineStr">
        <is>
          <t>添えるカードをつくる</t>
        </is>
      </c>
      <c r="G77" s="26" t="inlineStr">
        <is>
          <t>「次回は◯月◯日です」「お問い合わせはボランティアセンターへ」。次につながる一言を入れる</t>
        </is>
      </c>
      <c r="H77" s="27" t="n"/>
      <c r="I77" s="27" t="inlineStr">
        <is>
          <t>未着手</t>
        </is>
      </c>
      <c r="J77" s="36" t="n"/>
      <c r="K77" s="37" t="n"/>
    </row>
    <row r="78" ht="30" customHeight="1">
      <c r="A78" s="32" t="n">
        <v>74</v>
      </c>
      <c r="B78" s="33">
        <f>使い方!$B$5-14</f>
        <v/>
      </c>
      <c r="C78" s="34">
        <f>CHOOSE(WEEKDAY(B78),"日","月","火","水","木","金","土")</f>
        <v/>
      </c>
      <c r="D78" s="35" t="inlineStr">
        <is>
          <t>2週前</t>
        </is>
      </c>
      <c r="E78" s="26" t="inlineStr">
        <is>
          <t>D 参加記念品</t>
        </is>
      </c>
      <c r="F78" s="10" t="inlineStr">
        <is>
          <t>袋詰めをする</t>
        </is>
      </c>
      <c r="G78" s="26" t="inlineStr">
        <is>
          <t>記念品＋カード＋次回チラシをセットに。当日あわてないよう、前もって</t>
        </is>
      </c>
      <c r="H78" s="27" t="n"/>
      <c r="I78" s="27" t="inlineStr">
        <is>
          <t>未着手</t>
        </is>
      </c>
      <c r="J78" s="36" t="n"/>
      <c r="K78" s="37" t="n"/>
    </row>
    <row r="79" ht="30" customHeight="1">
      <c r="A79" s="32" t="n">
        <v>75</v>
      </c>
      <c r="B79" s="33">
        <f>使い方!$B$5-14</f>
        <v/>
      </c>
      <c r="C79" s="34">
        <f>CHOOSE(WEEKDAY(B79),"日","月","火","水","木","金","土")</f>
        <v/>
      </c>
      <c r="D79" s="35" t="inlineStr">
        <is>
          <t>2週前</t>
        </is>
      </c>
      <c r="E79" s="26" t="inlineStr">
        <is>
          <t>E カフェで使う備品</t>
        </is>
      </c>
      <c r="F79" s="10" t="inlineStr">
        <is>
          <t>参加者カード、筆記用具、クリップボード、受付名簿</t>
        </is>
      </c>
      <c r="G79" s="26" t="n"/>
      <c r="H79" s="27" t="n"/>
      <c r="I79" s="27" t="inlineStr">
        <is>
          <t>未着手</t>
        </is>
      </c>
      <c r="J79" s="36" t="n"/>
      <c r="K79" s="37" t="n"/>
    </row>
    <row r="80" ht="30" customHeight="1">
      <c r="A80" s="32" t="n">
        <v>76</v>
      </c>
      <c r="B80" s="33">
        <f>使い方!$B$5-14</f>
        <v/>
      </c>
      <c r="C80" s="34">
        <f>CHOOSE(WEEKDAY(B80),"日","月","火","水","木","金","土")</f>
        <v/>
      </c>
      <c r="D80" s="35" t="inlineStr">
        <is>
          <t>2週前</t>
        </is>
      </c>
      <c r="E80" s="26" t="inlineStr">
        <is>
          <t>E カフェで使う備品</t>
        </is>
      </c>
      <c r="F80" s="10" t="inlineStr">
        <is>
          <t>テーブルクロス、花か観葉植物（1テーブルに1つ）</t>
        </is>
      </c>
      <c r="G80" s="26" t="inlineStr">
        <is>
          <t>「会議」ではなく「カフェ」に見せるための、いちばん安い方法です</t>
        </is>
      </c>
      <c r="H80" s="27" t="n"/>
      <c r="I80" s="27" t="inlineStr">
        <is>
          <t>未着手</t>
        </is>
      </c>
      <c r="J80" s="36" t="n"/>
      <c r="K80" s="37" t="n"/>
    </row>
    <row r="81" ht="30" customHeight="1">
      <c r="A81" s="32" t="n">
        <v>77</v>
      </c>
      <c r="B81" s="33">
        <f>使い方!$B$5-14</f>
        <v/>
      </c>
      <c r="C81" s="34">
        <f>CHOOSE(WEEKDAY(B81),"日","月","火","水","木","金","土")</f>
        <v/>
      </c>
      <c r="D81" s="35" t="inlineStr">
        <is>
          <t>2週前</t>
        </is>
      </c>
      <c r="E81" s="26" t="inlineStr">
        <is>
          <t>E カフェで使う備品</t>
        </is>
      </c>
      <c r="F81" s="10" t="inlineStr">
        <is>
          <t>小さなスピーカー（BGM用・小音量）</t>
        </is>
      </c>
      <c r="G81" s="26" t="inlineStr">
        <is>
          <t>沈黙が気にならなくなり、はじめての方が入りやすくなります</t>
        </is>
      </c>
      <c r="H81" s="27" t="n"/>
      <c r="I81" s="27" t="inlineStr">
        <is>
          <t>未着手</t>
        </is>
      </c>
      <c r="J81" s="36" t="n"/>
      <c r="K81" s="37" t="n"/>
    </row>
    <row r="82" ht="30" customHeight="1">
      <c r="A82" s="32" t="n">
        <v>78</v>
      </c>
      <c r="B82" s="33">
        <f>使い方!$B$5-14</f>
        <v/>
      </c>
      <c r="C82" s="34">
        <f>CHOOSE(WEEKDAY(B82),"日","月","火","水","木","金","土")</f>
        <v/>
      </c>
      <c r="D82" s="35" t="inlineStr">
        <is>
          <t>2週前</t>
        </is>
      </c>
      <c r="E82" s="26" t="inlineStr">
        <is>
          <t>E カフェで使う備品</t>
        </is>
      </c>
      <c r="F82" s="10" t="inlineStr">
        <is>
          <t>救急箱、消毒、絆創膏、体温計、ティッシュ</t>
        </is>
      </c>
      <c r="G82" s="26" t="inlineStr">
        <is>
          <t>盆栽ではさみを使うため、絆創膏は多めに</t>
        </is>
      </c>
      <c r="H82" s="27" t="n"/>
      <c r="I82" s="27" t="inlineStr">
        <is>
          <t>未着手</t>
        </is>
      </c>
      <c r="J82" s="36" t="n"/>
      <c r="K82" s="37" t="n"/>
    </row>
    <row r="83" ht="30" customHeight="1">
      <c r="A83" s="32" t="n">
        <v>79</v>
      </c>
      <c r="B83" s="33">
        <f>使い方!$B$5-14</f>
        <v/>
      </c>
      <c r="C83" s="34">
        <f>CHOOSE(WEEKDAY(B83),"日","月","火","水","木","金","土")</f>
        <v/>
      </c>
      <c r="D83" s="35" t="inlineStr">
        <is>
          <t>2週前</t>
        </is>
      </c>
      <c r="E83" s="26" t="inlineStr">
        <is>
          <t>E カフェで使う備品</t>
        </is>
      </c>
      <c r="F83" s="10" t="inlineStr">
        <is>
          <t>カメラ（記録用）、予備の電池</t>
        </is>
      </c>
      <c r="G83" s="26" t="n"/>
      <c r="H83" s="27" t="n"/>
      <c r="I83" s="27" t="inlineStr">
        <is>
          <t>未着手</t>
        </is>
      </c>
      <c r="J83" s="36" t="n"/>
      <c r="K83" s="37" t="n"/>
    </row>
    <row r="84" ht="30" customHeight="1">
      <c r="A84" s="32" t="n">
        <v>80</v>
      </c>
      <c r="B84" s="33">
        <f>使い方!$B$5-14</f>
        <v/>
      </c>
      <c r="C84" s="34">
        <f>CHOOSE(WEEKDAY(B84),"日","月","火","水","木","金","土")</f>
        <v/>
      </c>
      <c r="D84" s="35" t="inlineStr">
        <is>
          <t>2週前</t>
        </is>
      </c>
      <c r="E84" s="26" t="inlineStr">
        <is>
          <t>E カフェで使う備品</t>
        </is>
      </c>
      <c r="F84" s="10" t="inlineStr">
        <is>
          <t>マスキングテープ、養生テープ、模造紙、はさみ、油性ペン</t>
        </is>
      </c>
      <c r="G84" s="26" t="n"/>
      <c r="H84" s="27" t="n"/>
      <c r="I84" s="27" t="inlineStr">
        <is>
          <t>未着手</t>
        </is>
      </c>
      <c r="J84" s="36" t="n"/>
      <c r="K84" s="37" t="n"/>
    </row>
    <row r="85" ht="30" customHeight="1">
      <c r="A85" s="32" t="n">
        <v>81</v>
      </c>
      <c r="B85" s="33">
        <f>使い方!$B$5-14</f>
        <v/>
      </c>
      <c r="C85" s="34">
        <f>CHOOSE(WEEKDAY(B85),"日","月","火","水","木","金","土")</f>
        <v/>
      </c>
      <c r="D85" s="35" t="inlineStr">
        <is>
          <t>2週前</t>
        </is>
      </c>
      <c r="E85" s="26" t="inlineStr">
        <is>
          <t>F 会場に貼る表示物</t>
        </is>
      </c>
      <c r="F85" s="10" t="inlineStr">
        <is>
          <t>盆栽コーナーの表示と、手順の掲示</t>
        </is>
      </c>
      <c r="G85" s="26" t="inlineStr">
        <is>
          <t>「土を入れる → 苗を置く → 水をやる」を、写真かイラストで3ステップに</t>
        </is>
      </c>
      <c r="H85" s="27" t="n"/>
      <c r="I85" s="27" t="inlineStr">
        <is>
          <t>未着手</t>
        </is>
      </c>
      <c r="J85" s="36" t="n"/>
      <c r="K85" s="37" t="n"/>
    </row>
    <row r="86" ht="30" customHeight="1">
      <c r="A86" s="32" t="n">
        <v>82</v>
      </c>
      <c r="B86" s="33">
        <f>使い方!$B$5-14</f>
        <v/>
      </c>
      <c r="C86" s="34">
        <f>CHOOSE(WEEKDAY(B86),"日","月","火","水","木","金","土")</f>
        <v/>
      </c>
      <c r="D86" s="35" t="inlineStr">
        <is>
          <t>2週前</t>
        </is>
      </c>
      <c r="E86" s="26" t="inlineStr">
        <is>
          <t>F 会場に貼る表示物</t>
        </is>
      </c>
      <c r="F86" s="10" t="inlineStr">
        <is>
          <t>災ボラ体験コーナーの表示（受付／ニーズ受付／マッチング／送り出しの4か所）</t>
        </is>
      </c>
      <c r="G86" s="26" t="inlineStr">
        <is>
          <t>本物の災害ボランティアセンターと同じ順に並べる。これ自体が説明になります</t>
        </is>
      </c>
      <c r="H86" s="27" t="n"/>
      <c r="I86" s="27" t="inlineStr">
        <is>
          <t>未着手</t>
        </is>
      </c>
      <c r="J86" s="36" t="n"/>
      <c r="K86" s="37" t="n"/>
    </row>
    <row r="87" ht="30" customHeight="1">
      <c r="A87" s="32" t="n">
        <v>83</v>
      </c>
      <c r="B87" s="33">
        <f>使い方!$B$5-14</f>
        <v/>
      </c>
      <c r="C87" s="34">
        <f>CHOOSE(WEEKDAY(B87),"日","月","火","水","木","金","土")</f>
        <v/>
      </c>
      <c r="D87" s="35" t="inlineStr">
        <is>
          <t>2週前</t>
        </is>
      </c>
      <c r="E87" s="26" t="inlineStr">
        <is>
          <t>F 会場に貼る表示物</t>
        </is>
      </c>
      <c r="F87" s="10" t="inlineStr">
        <is>
          <t>次回のご案内（日付を大きく1枚）</t>
        </is>
      </c>
      <c r="G87" s="26" t="inlineStr">
        <is>
          <t>帰りぎわに必ず目に入る位置へ</t>
        </is>
      </c>
      <c r="H87" s="27" t="n"/>
      <c r="I87" s="27" t="inlineStr">
        <is>
          <t>未着手</t>
        </is>
      </c>
      <c r="J87" s="36" t="n"/>
      <c r="K87" s="37" t="n"/>
    </row>
    <row r="88" ht="30" customHeight="1">
      <c r="A88" s="32" t="n">
        <v>84</v>
      </c>
      <c r="B88" s="33">
        <f>使い方!$B$5-14</f>
        <v/>
      </c>
      <c r="C88" s="34">
        <f>CHOOSE(WEEKDAY(B88),"日","月","火","水","木","金","土")</f>
        <v/>
      </c>
      <c r="D88" s="35" t="inlineStr">
        <is>
          <t>2週前</t>
        </is>
      </c>
      <c r="E88" s="26" t="inlineStr">
        <is>
          <t>F 会場に貼る表示物</t>
        </is>
      </c>
      <c r="F88" s="10" t="inlineStr">
        <is>
          <t>ボランティア登録・活動見学のご案内</t>
        </is>
      </c>
      <c r="G88" s="26" t="inlineStr">
        <is>
          <t>用紙を横に置いておく。その場で書いて帰れるように</t>
        </is>
      </c>
      <c r="H88" s="27" t="n"/>
      <c r="I88" s="27" t="inlineStr">
        <is>
          <t>未着手</t>
        </is>
      </c>
      <c r="J88" s="36" t="n"/>
      <c r="K88" s="37" t="n"/>
    </row>
    <row r="89" ht="30" customHeight="1">
      <c r="A89" s="32" t="n">
        <v>85</v>
      </c>
      <c r="B89" s="33">
        <f>使い方!$B$5-14</f>
        <v/>
      </c>
      <c r="C89" s="34">
        <f>CHOOSE(WEEKDAY(B89),"日","月","火","水","木","金","土")</f>
        <v/>
      </c>
      <c r="D89" s="35" t="inlineStr">
        <is>
          <t>2週前</t>
        </is>
      </c>
      <c r="E89" s="26" t="inlineStr">
        <is>
          <t>F 会場に貼る表示物</t>
        </is>
      </c>
      <c r="F89" s="10" t="inlineStr">
        <is>
          <t>町でいま動いている活動の紹介パネル</t>
        </is>
      </c>
      <c r="G89" s="26" t="inlineStr">
        <is>
          <t>配食・見守り・サロン・除雪。写真を貼るだけでよい</t>
        </is>
      </c>
      <c r="H89" s="27" t="n"/>
      <c r="I89" s="27" t="inlineStr">
        <is>
          <t>未着手</t>
        </is>
      </c>
      <c r="J89" s="36" t="n"/>
      <c r="K89" s="37" t="n"/>
    </row>
    <row r="90" ht="30" customHeight="1">
      <c r="A90" s="32" t="n">
        <v>86</v>
      </c>
      <c r="B90" s="33">
        <f>使い方!$B$5-14</f>
        <v/>
      </c>
      <c r="C90" s="34">
        <f>CHOOSE(WEEKDAY(B90),"日","月","火","水","木","金","土")</f>
        <v/>
      </c>
      <c r="D90" s="35" t="inlineStr">
        <is>
          <t>2週前</t>
        </is>
      </c>
      <c r="E90" s="26" t="inlineStr">
        <is>
          <t>G 盆栽ボランティアの準備</t>
        </is>
      </c>
      <c r="F90" s="10" t="inlineStr">
        <is>
          <t>「育て方」の1枚をつくって印刷する</t>
        </is>
      </c>
      <c r="G90" s="26" t="inlineStr">
        <is>
          <t>水やり／置き場所／冬の越し方／困ったときの連絡先。持ち帰ったあとも社協とつながる紙になります</t>
        </is>
      </c>
      <c r="H90" s="27" t="n"/>
      <c r="I90" s="27" t="inlineStr">
        <is>
          <t>未着手</t>
        </is>
      </c>
      <c r="J90" s="36" t="n"/>
      <c r="K90" s="37" t="n"/>
    </row>
    <row r="91" ht="30" customHeight="1">
      <c r="A91" s="32" t="n">
        <v>87</v>
      </c>
      <c r="B91" s="33">
        <f>使い方!$B$5-14</f>
        <v/>
      </c>
      <c r="C91" s="34">
        <f>CHOOSE(WEEKDAY(B91),"日","月","火","水","木","金","土")</f>
        <v/>
      </c>
      <c r="D91" s="35" t="inlineStr">
        <is>
          <t>2週前</t>
        </is>
      </c>
      <c r="E91" s="26" t="inlineStr">
        <is>
          <t>G 盆栽ボランティアの準備</t>
        </is>
      </c>
      <c r="F91" s="10" t="inlineStr">
        <is>
          <t>けがへの備えを確認する</t>
        </is>
      </c>
      <c r="G91" s="26" t="inlineStr">
        <is>
          <t>はさみを使います。保険の対象になるか、応急手当の担当は誰か</t>
        </is>
      </c>
      <c r="H91" s="27" t="n"/>
      <c r="I91" s="27" t="inlineStr">
        <is>
          <t>未着手</t>
        </is>
      </c>
      <c r="J91" s="36" t="n"/>
      <c r="K91" s="37" t="n"/>
    </row>
    <row r="92" ht="30" customHeight="1">
      <c r="A92" s="32" t="n">
        <v>88</v>
      </c>
      <c r="B92" s="33">
        <f>使い方!$B$5-14</f>
        <v/>
      </c>
      <c r="C92" s="34">
        <f>CHOOSE(WEEKDAY(B92),"日","月","火","水","木","金","土")</f>
        <v/>
      </c>
      <c r="D92" s="35" t="inlineStr">
        <is>
          <t>2週前</t>
        </is>
      </c>
      <c r="E92" s="26" t="inlineStr">
        <is>
          <t>H 災ボラ体験の資料</t>
        </is>
      </c>
      <c r="F92" s="10" t="inlineStr">
        <is>
          <t>進行台本をつくる</t>
        </is>
      </c>
      <c r="G92" s="26" t="inlineStr">
        <is>
          <t>誰がどの役をやり、何を言うか。参加者が少なかった場合の縮め方も書いておく</t>
        </is>
      </c>
      <c r="H92" s="27" t="n"/>
      <c r="I92" s="27" t="inlineStr">
        <is>
          <t>未着手</t>
        </is>
      </c>
      <c r="J92" s="36" t="n"/>
      <c r="K92" s="37" t="n"/>
    </row>
    <row r="93" ht="30" customHeight="1">
      <c r="A93" s="32" t="n">
        <v>89</v>
      </c>
      <c r="B93" s="33">
        <f>使い方!$B$5-14</f>
        <v/>
      </c>
      <c r="C93" s="34">
        <f>CHOOSE(WEEKDAY(B93),"日","月","火","水","木","金","土")</f>
        <v/>
      </c>
      <c r="D93" s="35" t="inlineStr">
        <is>
          <t>2週前</t>
        </is>
      </c>
      <c r="E93" s="26" t="inlineStr">
        <is>
          <t>I 当日の運営</t>
        </is>
      </c>
      <c r="F93" s="10" t="inlineStr">
        <is>
          <t>役割分担表をつくる</t>
        </is>
      </c>
      <c r="G93" s="26" t="inlineStr">
        <is>
          <t>受付／お茶／進行／盆栽の補助／災ボラ／記録・写真／片付け。ひとり2役までにする</t>
        </is>
      </c>
      <c r="H93" s="27" t="n"/>
      <c r="I93" s="27" t="inlineStr">
        <is>
          <t>未着手</t>
        </is>
      </c>
      <c r="J93" s="36" t="n"/>
      <c r="K93" s="37" t="n"/>
    </row>
    <row r="94" ht="30" customHeight="1">
      <c r="A94" s="32" t="n">
        <v>90</v>
      </c>
      <c r="B94" s="33">
        <f>使い方!$B$5-14</f>
        <v/>
      </c>
      <c r="C94" s="34">
        <f>CHOOSE(WEEKDAY(B94),"日","月","火","水","木","金","土")</f>
        <v/>
      </c>
      <c r="D94" s="35" t="inlineStr">
        <is>
          <t>2週前</t>
        </is>
      </c>
      <c r="E94" s="26" t="inlineStr">
        <is>
          <t>I 当日の運営</t>
        </is>
      </c>
      <c r="F94" s="10" t="inlineStr">
        <is>
          <t>進行台本と、分単位のタイムテーブルをつくる</t>
        </is>
      </c>
      <c r="G94" s="26" t="inlineStr">
        <is>
          <t>盆栽と災ボラを入れると90分は窮屈です。どちらかを次回に回す判断も、ここで決めておく</t>
        </is>
      </c>
      <c r="H94" s="27" t="n"/>
      <c r="I94" s="27" t="inlineStr">
        <is>
          <t>未着手</t>
        </is>
      </c>
      <c r="J94" s="36" t="n"/>
      <c r="K94" s="37" t="n"/>
    </row>
    <row r="95" ht="30" customHeight="1">
      <c r="A95" s="32" t="n">
        <v>91</v>
      </c>
      <c r="B95" s="33">
        <f>使い方!$B$5-14</f>
        <v/>
      </c>
      <c r="C95" s="34">
        <f>CHOOSE(WEEKDAY(B95),"日","月","火","水","木","金","土")</f>
        <v/>
      </c>
      <c r="D95" s="35" t="inlineStr">
        <is>
          <t>2週前</t>
        </is>
      </c>
      <c r="E95" s="26" t="inlineStr">
        <is>
          <t>I 当日の運営</t>
        </is>
      </c>
      <c r="F95" s="10" t="inlineStr">
        <is>
          <t>台本とレイアウト図を、関わる全員に配る</t>
        </is>
      </c>
      <c r="G95" s="26" t="inlineStr">
        <is>
          <t>講師・世話人候補・協力者にも。当日はじめて渡さない</t>
        </is>
      </c>
      <c r="H95" s="27" t="n"/>
      <c r="I95" s="27" t="inlineStr">
        <is>
          <t>未着手</t>
        </is>
      </c>
      <c r="J95" s="36" t="n"/>
      <c r="K95" s="37" t="n"/>
    </row>
    <row r="96" ht="30" customHeight="1">
      <c r="A96" s="32" t="n">
        <v>92</v>
      </c>
      <c r="B96" s="33">
        <f>使い方!$B$5-14</f>
        <v/>
      </c>
      <c r="C96" s="34">
        <f>CHOOSE(WEEKDAY(B96),"日","月","火","水","木","金","土")</f>
        <v/>
      </c>
      <c r="D96" s="35" t="inlineStr">
        <is>
          <t>2週前</t>
        </is>
      </c>
      <c r="E96" s="26" t="inlineStr">
        <is>
          <t>I 当日の運営</t>
        </is>
      </c>
      <c r="F96" s="10" t="inlineStr">
        <is>
          <t>前日準備（12/14 15:00〜）の段取りと担当を決める</t>
        </is>
      </c>
      <c r="G96" s="26" t="inlineStr">
        <is>
          <t>会場設営、机いすの配置、掲示、資機材の搬入、盆栽コーナーの下ごしらえ、給湯の確認</t>
        </is>
      </c>
      <c r="H96" s="27" t="n"/>
      <c r="I96" s="27" t="inlineStr">
        <is>
          <t>未着手</t>
        </is>
      </c>
      <c r="J96" s="36" t="n"/>
      <c r="K96" s="37" t="n"/>
    </row>
    <row r="97" ht="30" customHeight="1">
      <c r="A97" s="32" t="n">
        <v>93</v>
      </c>
      <c r="B97" s="33">
        <f>使い方!$B$5-14</f>
        <v/>
      </c>
      <c r="C97" s="34">
        <f>CHOOSE(WEEKDAY(B97),"日","月","火","水","木","金","土")</f>
        <v/>
      </c>
      <c r="D97" s="35" t="inlineStr">
        <is>
          <t>2週前</t>
        </is>
      </c>
      <c r="E97" s="26" t="inlineStr">
        <is>
          <t>I 当日の運営</t>
        </is>
      </c>
      <c r="F97" s="10" t="inlineStr">
        <is>
          <t>9:30〜10:00の進め方を決める</t>
        </is>
      </c>
      <c r="G97" s="26" t="inlineStr">
        <is>
          <t>受付・お茶・あいさつ・本日の流れ・ひとこと自己紹介。ここで場があたたまるかが、その後を左右します</t>
        </is>
      </c>
      <c r="H97" s="27" t="n"/>
      <c r="I97" s="27" t="inlineStr">
        <is>
          <t>未着手</t>
        </is>
      </c>
      <c r="J97" s="36" t="n"/>
      <c r="K97" s="37" t="n"/>
    </row>
    <row r="98" ht="30" customHeight="1">
      <c r="A98" s="32" t="n">
        <v>94</v>
      </c>
      <c r="B98" s="33">
        <f>使い方!$B$5-14</f>
        <v/>
      </c>
      <c r="C98" s="34">
        <f>CHOOSE(WEEKDAY(B98),"日","月","火","水","木","金","土")</f>
        <v/>
      </c>
      <c r="D98" s="35" t="inlineStr">
        <is>
          <t>2週前</t>
        </is>
      </c>
      <c r="E98" s="26" t="inlineStr">
        <is>
          <t>K 体験・展示コーナーの準備</t>
        </is>
      </c>
      <c r="F98" s="10" t="inlineStr">
        <is>
          <t>段ボールベッドの組み立てと解体を、職員で一度やってみる</t>
        </is>
      </c>
      <c r="G98" s="26" t="inlineStr">
        <is>
          <t>当日説明できるようになるため。何分かかるかを測っておくと、体験の時間配分が決められます</t>
        </is>
      </c>
      <c r="H98" s="27" t="n"/>
      <c r="I98" s="27" t="inlineStr">
        <is>
          <t>未着手</t>
        </is>
      </c>
      <c r="J98" s="36" t="n"/>
      <c r="K98" s="37" t="n"/>
    </row>
    <row r="99" ht="30" customHeight="1">
      <c r="A99" s="32" t="n">
        <v>95</v>
      </c>
      <c r="B99" s="33">
        <f>使い方!$B$5-7</f>
        <v/>
      </c>
      <c r="C99" s="34">
        <f>CHOOSE(WEEKDAY(B99),"日","月","火","水","木","金","土")</f>
        <v/>
      </c>
      <c r="D99" s="35" t="inlineStr">
        <is>
          <t>1週前</t>
        </is>
      </c>
      <c r="E99" s="26" t="inlineStr">
        <is>
          <t>C チラシと広報</t>
        </is>
      </c>
      <c r="F99" s="10" t="inlineStr">
        <is>
          <t>参加の見込み数をまとめる</t>
        </is>
      </c>
      <c r="G99" s="26" t="inlineStr">
        <is>
          <t>茶菓・記念品・盆栽材料の数を決めるため。予備を3〜5人分みておく</t>
        </is>
      </c>
      <c r="H99" s="27" t="n"/>
      <c r="I99" s="27" t="inlineStr">
        <is>
          <t>未着手</t>
        </is>
      </c>
      <c r="J99" s="36" t="n"/>
      <c r="K99" s="37" t="n"/>
    </row>
    <row r="100" ht="30" customHeight="1">
      <c r="A100" s="32" t="n">
        <v>96</v>
      </c>
      <c r="B100" s="33">
        <f>使い方!$B$5-7</f>
        <v/>
      </c>
      <c r="C100" s="34">
        <f>CHOOSE(WEEKDAY(B100),"日","月","火","水","木","金","土")</f>
        <v/>
      </c>
      <c r="D100" s="35" t="inlineStr">
        <is>
          <t>1週前</t>
        </is>
      </c>
      <c r="E100" s="26" t="inlineStr">
        <is>
          <t>E カフェで使う備品</t>
        </is>
      </c>
      <c r="F100" s="10" t="inlineStr">
        <is>
          <t>お菓子</t>
        </is>
      </c>
      <c r="G100" s="26" t="inlineStr">
        <is>
          <t>個包装で、原材料表示のあるもの。やわらかいものも用意する（入れ歯の方のため）</t>
        </is>
      </c>
      <c r="H100" s="27" t="n"/>
      <c r="I100" s="27" t="inlineStr">
        <is>
          <t>未着手</t>
        </is>
      </c>
      <c r="J100" s="36" t="n"/>
      <c r="K100" s="37" t="n"/>
    </row>
    <row r="101" ht="30" customHeight="1">
      <c r="A101" s="32" t="n">
        <v>97</v>
      </c>
      <c r="B101" s="33">
        <f>使い方!$B$5-7</f>
        <v/>
      </c>
      <c r="C101" s="34">
        <f>CHOOSE(WEEKDAY(B101),"日","月","火","水","木","金","土")</f>
        <v/>
      </c>
      <c r="D101" s="35" t="inlineStr">
        <is>
          <t>1週前</t>
        </is>
      </c>
      <c r="E101" s="26" t="inlineStr">
        <is>
          <t>I 当日の運営</t>
        </is>
      </c>
      <c r="F101" s="10" t="inlineStr">
        <is>
          <t>動線のリハーサルをする（30分でよい）</t>
        </is>
      </c>
      <c r="G101" s="26" t="inlineStr">
        <is>
          <t>入口から受付、席、盆栽コーナー、手洗い、災ボラコーナーまで、実際に歩いてみる</t>
        </is>
      </c>
      <c r="H101" s="27" t="n"/>
      <c r="I101" s="27" t="inlineStr">
        <is>
          <t>未着手</t>
        </is>
      </c>
      <c r="J101" s="36" t="n"/>
      <c r="K101" s="37" t="n"/>
    </row>
    <row r="102" ht="30" customHeight="1">
      <c r="A102" s="32" t="n">
        <v>98</v>
      </c>
      <c r="B102" s="33">
        <f>使い方!$B$5-1</f>
        <v/>
      </c>
      <c r="C102" s="34">
        <f>CHOOSE(WEEKDAY(B102),"日","月","火","水","木","金","土")</f>
        <v/>
      </c>
      <c r="D102" s="35" t="inlineStr">
        <is>
          <t>前日</t>
        </is>
      </c>
      <c r="E102" s="26" t="inlineStr">
        <is>
          <t>B 事務の手続き</t>
        </is>
      </c>
      <c r="F102" s="10" t="inlineStr">
        <is>
          <t>会場使用料の支払い</t>
        </is>
      </c>
      <c r="G102" s="26" t="inlineStr">
        <is>
          <t>参加費を取らないことになったため、釣り銭の準備は不要</t>
        </is>
      </c>
      <c r="H102" s="27" t="n"/>
      <c r="I102" s="27" t="inlineStr">
        <is>
          <t>未着手</t>
        </is>
      </c>
      <c r="J102" s="36" t="n"/>
      <c r="K102" s="37" t="n"/>
    </row>
    <row r="103" ht="30" customHeight="1">
      <c r="A103" s="32" t="n">
        <v>99</v>
      </c>
      <c r="B103" s="33">
        <f>使い方!$B$5-1</f>
        <v/>
      </c>
      <c r="C103" s="34">
        <f>CHOOSE(WEEKDAY(B103),"日","月","火","水","木","金","土")</f>
        <v/>
      </c>
      <c r="D103" s="35" t="inlineStr">
        <is>
          <t>前日</t>
        </is>
      </c>
      <c r="E103" s="26" t="inlineStr">
        <is>
          <t>C チラシと広報</t>
        </is>
      </c>
      <c r="F103" s="10" t="inlineStr">
        <is>
          <t>声をかけた方へリマインドの電話</t>
        </is>
      </c>
      <c r="G103" s="26" t="inlineStr">
        <is>
          <t>「明日お待ちしています」の一本で、来場がはっきり変わります</t>
        </is>
      </c>
      <c r="H103" s="27" t="n"/>
      <c r="I103" s="27" t="inlineStr">
        <is>
          <t>未着手</t>
        </is>
      </c>
      <c r="J103" s="36" t="n"/>
      <c r="K103" s="37" t="n"/>
    </row>
    <row r="104" ht="30" customHeight="1">
      <c r="A104" s="32" t="n">
        <v>100</v>
      </c>
      <c r="B104" s="33">
        <f>使い方!$B$5-1</f>
        <v/>
      </c>
      <c r="C104" s="34">
        <f>CHOOSE(WEEKDAY(B104),"日","月","火","水","木","金","土")</f>
        <v/>
      </c>
      <c r="D104" s="35" t="inlineStr">
        <is>
          <t>前日</t>
        </is>
      </c>
      <c r="E104" s="26" t="inlineStr">
        <is>
          <t>E カフェで使う備品</t>
        </is>
      </c>
      <c r="F104" s="10" t="inlineStr">
        <is>
          <t>積み込みリストで最終確認をする</t>
        </is>
      </c>
      <c r="G104" s="26" t="inlineStr">
        <is>
          <t>この欄をそのまま印刷して、チェックしながら積む</t>
        </is>
      </c>
      <c r="H104" s="27" t="n"/>
      <c r="I104" s="27" t="inlineStr">
        <is>
          <t>未着手</t>
        </is>
      </c>
      <c r="J104" s="36" t="n"/>
      <c r="K104" s="37" t="n"/>
    </row>
    <row r="105" ht="30" customHeight="1">
      <c r="A105" s="32" t="n">
        <v>101</v>
      </c>
      <c r="B105" s="33">
        <f>使い方!$B$5-1</f>
        <v/>
      </c>
      <c r="C105" s="34">
        <f>CHOOSE(WEEKDAY(B105),"日","月","火","水","木","金","土")</f>
        <v/>
      </c>
      <c r="D105" s="35" t="inlineStr">
        <is>
          <t>前日</t>
        </is>
      </c>
      <c r="E105" s="26" t="inlineStr">
        <is>
          <t>I 当日の運営</t>
        </is>
      </c>
      <c r="F105" s="10" t="inlineStr">
        <is>
          <t>積み込み</t>
        </is>
      </c>
      <c r="G105" s="26" t="inlineStr">
        <is>
          <t>Eの備品リストと、盆栽の材料、災ボラの資料一式、表示物、記念品</t>
        </is>
      </c>
      <c r="H105" s="27" t="n"/>
      <c r="I105" s="27" t="inlineStr">
        <is>
          <t>未着手</t>
        </is>
      </c>
      <c r="J105" s="36" t="n"/>
      <c r="K105" s="37" t="n"/>
    </row>
    <row r="106" ht="30" customHeight="1">
      <c r="A106" s="32" t="n">
        <v>102</v>
      </c>
      <c r="B106" s="33">
        <f>使い方!$B$5+0</f>
        <v/>
      </c>
      <c r="C106" s="34">
        <f>CHOOSE(WEEKDAY(B106),"日","月","火","水","木","金","土")</f>
        <v/>
      </c>
      <c r="D106" s="35" t="inlineStr">
        <is>
          <t>当日</t>
        </is>
      </c>
      <c r="E106" s="26" t="inlineStr">
        <is>
          <t>G 盆栽ボランティアの準備</t>
        </is>
      </c>
      <c r="F106" s="10" t="inlineStr">
        <is>
          <t>「この続きをやりたい人」の名簿をその場でつくる</t>
        </is>
      </c>
      <c r="G106" s="26" t="inlineStr">
        <is>
          <t>庭木・鉢の手入れを手伝う活動へ。教えてくれた方にも、世話人として関わってもらえるか声をかける</t>
        </is>
      </c>
      <c r="H106" s="27" t="n"/>
      <c r="I106" s="27" t="inlineStr">
        <is>
          <t>未着手</t>
        </is>
      </c>
      <c r="J106" s="36" t="n"/>
      <c r="K106" s="37" t="n"/>
    </row>
    <row r="107" ht="30" customHeight="1">
      <c r="A107" s="32" t="n">
        <v>103</v>
      </c>
      <c r="B107" s="33">
        <f>使い方!$B$5+0</f>
        <v/>
      </c>
      <c r="C107" s="34">
        <f>CHOOSE(WEEKDAY(B107),"日","月","火","水","木","金","土")</f>
        <v/>
      </c>
      <c r="D107" s="35" t="inlineStr">
        <is>
          <t>当日</t>
        </is>
      </c>
      <c r="E107" s="26" t="inlineStr">
        <is>
          <t>I 当日の運営</t>
        </is>
      </c>
      <c r="F107" s="10" t="inlineStr">
        <is>
          <t>開場90分前に集合。設営・掲示・給湯・受付準備</t>
        </is>
      </c>
      <c r="G107" s="26" t="inlineStr">
        <is>
          <t>机といすの数を実際に数える。90分前でも足りないことがあります</t>
        </is>
      </c>
      <c r="H107" s="27" t="n"/>
      <c r="I107" s="27" t="inlineStr">
        <is>
          <t>未着手</t>
        </is>
      </c>
      <c r="J107" s="36" t="n"/>
      <c r="K107" s="37" t="n"/>
    </row>
    <row r="108" ht="30" customHeight="1">
      <c r="A108" s="32" t="n">
        <v>104</v>
      </c>
      <c r="B108" s="33">
        <f>使い方!$B$5+0</f>
        <v/>
      </c>
      <c r="C108" s="34">
        <f>CHOOSE(WEEKDAY(B108),"日","月","火","水","木","金","土")</f>
        <v/>
      </c>
      <c r="D108" s="35" t="inlineStr">
        <is>
          <t>当日</t>
        </is>
      </c>
      <c r="E108" s="26" t="inlineStr">
        <is>
          <t>I 当日の運営</t>
        </is>
      </c>
      <c r="F108" s="10" t="inlineStr">
        <is>
          <t>はじめての方に、世話人か職員がひとりつく</t>
        </is>
      </c>
      <c r="G108" s="26" t="inlineStr">
        <is>
          <t>いちばん大事な役です。担当を先に決めておく</t>
        </is>
      </c>
      <c r="H108" s="27" t="n"/>
      <c r="I108" s="27" t="inlineStr">
        <is>
          <t>未着手</t>
        </is>
      </c>
      <c r="J108" s="36" t="n"/>
      <c r="K108" s="37" t="n"/>
    </row>
    <row r="109" ht="30" customHeight="1">
      <c r="A109" s="32" t="n">
        <v>105</v>
      </c>
      <c r="B109" s="33">
        <f>使い方!$B$5+0</f>
        <v/>
      </c>
      <c r="C109" s="34">
        <f>CHOOSE(WEEKDAY(B109),"日","月","火","水","木","金","土")</f>
        <v/>
      </c>
      <c r="D109" s="35" t="inlineStr">
        <is>
          <t>当日</t>
        </is>
      </c>
      <c r="E109" s="26" t="inlineStr">
        <is>
          <t>I 当日の運営</t>
        </is>
      </c>
      <c r="F109" s="10" t="inlineStr">
        <is>
          <t>記録をとる</t>
        </is>
      </c>
      <c r="G109" s="26" t="inlineStr">
        <is>
          <t>参加者数／はじめて来た人／出た話題／気になった方／つないだ先／写真</t>
        </is>
      </c>
      <c r="H109" s="27" t="n"/>
      <c r="I109" s="27" t="inlineStr">
        <is>
          <t>未着手</t>
        </is>
      </c>
      <c r="J109" s="36" t="n"/>
      <c r="K109" s="37" t="n"/>
    </row>
    <row r="110" ht="30" customHeight="1">
      <c r="A110" s="32" t="n">
        <v>106</v>
      </c>
      <c r="B110" s="33">
        <f>使い方!$B$5+0</f>
        <v/>
      </c>
      <c r="C110" s="34">
        <f>CHOOSE(WEEKDAY(B110),"日","月","火","水","木","金","土")</f>
        <v/>
      </c>
      <c r="D110" s="35" t="inlineStr">
        <is>
          <t>当日</t>
        </is>
      </c>
      <c r="E110" s="26" t="inlineStr">
        <is>
          <t>I 当日の運営</t>
        </is>
      </c>
      <c r="F110" s="10" t="inlineStr">
        <is>
          <t>「やってみたいこと」「出られる曜日」を書いて帰ってもらう</t>
        </is>
      </c>
      <c r="G110" s="26" t="n"/>
      <c r="H110" s="27" t="n"/>
      <c r="I110" s="27" t="inlineStr">
        <is>
          <t>未着手</t>
        </is>
      </c>
      <c r="J110" s="36" t="n"/>
      <c r="K110" s="37" t="n"/>
    </row>
    <row r="111" ht="30" customHeight="1">
      <c r="A111" s="32" t="n">
        <v>107</v>
      </c>
      <c r="B111" s="33">
        <f>使い方!$B$5+0</f>
        <v/>
      </c>
      <c r="C111" s="34">
        <f>CHOOSE(WEEKDAY(B111),"日","月","火","水","木","金","土")</f>
        <v/>
      </c>
      <c r="D111" s="35" t="inlineStr">
        <is>
          <t>当日</t>
        </is>
      </c>
      <c r="E111" s="26" t="inlineStr">
        <is>
          <t>I 当日の運営</t>
        </is>
      </c>
      <c r="F111" s="10" t="inlineStr">
        <is>
          <t>終了後15分でふりかえり。次回に変えることを1つだけ決める</t>
        </is>
      </c>
      <c r="G111" s="26" t="inlineStr">
        <is>
          <t>その場で決めないと、次回まで持ち越されて忘れます</t>
        </is>
      </c>
      <c r="H111" s="27" t="n"/>
      <c r="I111" s="27" t="inlineStr">
        <is>
          <t>未着手</t>
        </is>
      </c>
      <c r="J111" s="36" t="n"/>
      <c r="K111" s="37" t="n"/>
    </row>
    <row r="112" ht="30" customHeight="1">
      <c r="A112" s="32" t="n">
        <v>108</v>
      </c>
      <c r="B112" s="33">
        <f>使い方!$B$5+0</f>
        <v/>
      </c>
      <c r="C112" s="34">
        <f>CHOOSE(WEEKDAY(B112),"日","月","火","水","木","金","土")</f>
        <v/>
      </c>
      <c r="D112" s="35" t="inlineStr">
        <is>
          <t>当日中</t>
        </is>
      </c>
      <c r="E112" s="26" t="inlineStr">
        <is>
          <t>J 終わったあと</t>
        </is>
      </c>
      <c r="F112" s="10" t="inlineStr">
        <is>
          <t>開催記録を書く</t>
        </is>
      </c>
      <c r="G112" s="26" t="inlineStr">
        <is>
          <t>記憶が新しいうちに。第1期以降の評価は、この記録の積み重ねでしか出せません</t>
        </is>
      </c>
      <c r="H112" s="27" t="n"/>
      <c r="I112" s="27" t="inlineStr">
        <is>
          <t>未着手</t>
        </is>
      </c>
      <c r="J112" s="36" t="n"/>
      <c r="K112" s="37" t="n"/>
    </row>
    <row r="113" ht="30" customHeight="1">
      <c r="A113" s="32" t="n">
        <v>109</v>
      </c>
      <c r="B113" s="33">
        <f>使い方!$B$5+3</f>
        <v/>
      </c>
      <c r="C113" s="34">
        <f>CHOOSE(WEEKDAY(B113),"日","月","火","水","木","金","土")</f>
        <v/>
      </c>
      <c r="D113" s="35" t="inlineStr">
        <is>
          <t>3日以内</t>
        </is>
      </c>
      <c r="E113" s="26" t="inlineStr">
        <is>
          <t>J 終わったあと</t>
        </is>
      </c>
      <c r="F113" s="10" t="inlineStr">
        <is>
          <t>講師・協力者・会場へお礼</t>
        </is>
      </c>
      <c r="G113" s="26" t="inlineStr">
        <is>
          <t>盆栽を教えてくれた方には、当日の写真を添えて</t>
        </is>
      </c>
      <c r="H113" s="27" t="n"/>
      <c r="I113" s="27" t="inlineStr">
        <is>
          <t>未着手</t>
        </is>
      </c>
      <c r="J113" s="36" t="n"/>
      <c r="K113" s="37" t="n"/>
    </row>
    <row r="114" ht="30" customHeight="1">
      <c r="A114" s="32" t="n">
        <v>110</v>
      </c>
      <c r="B114" s="33">
        <f>使い方!$B$5+7</f>
        <v/>
      </c>
      <c r="C114" s="34">
        <f>CHOOSE(WEEKDAY(B114),"日","月","火","水","木","金","土")</f>
        <v/>
      </c>
      <c r="D114" s="35" t="inlineStr">
        <is>
          <t>1週以内</t>
        </is>
      </c>
      <c r="E114" s="26" t="inlineStr">
        <is>
          <t>J 終わったあと</t>
        </is>
      </c>
      <c r="F114" s="10" t="inlineStr">
        <is>
          <t>写真を整理し、使ってよいものを選ぶ</t>
        </is>
      </c>
      <c r="G114" s="26" t="inlineStr">
        <is>
          <t>写りたくないと申し出た方が入っていないか、必ず確認する</t>
        </is>
      </c>
      <c r="H114" s="27" t="n"/>
      <c r="I114" s="27" t="inlineStr">
        <is>
          <t>未着手</t>
        </is>
      </c>
      <c r="J114" s="36" t="n"/>
      <c r="K114" s="37" t="n"/>
    </row>
    <row r="115" ht="30" customHeight="1">
      <c r="A115" s="32" t="n">
        <v>111</v>
      </c>
      <c r="B115" s="33">
        <f>使い方!$B$5+7</f>
        <v/>
      </c>
      <c r="C115" s="34">
        <f>CHOOSE(WEEKDAY(B115),"日","月","火","水","木","金","土")</f>
        <v/>
      </c>
      <c r="D115" s="35" t="inlineStr">
        <is>
          <t>1週以内</t>
        </is>
      </c>
      <c r="E115" s="26" t="inlineStr">
        <is>
          <t>J 終わったあと</t>
        </is>
      </c>
      <c r="F115" s="10" t="inlineStr">
        <is>
          <t>支出を精算する</t>
        </is>
      </c>
      <c r="G115" s="26" t="n"/>
      <c r="H115" s="27" t="n"/>
      <c r="I115" s="27" t="inlineStr">
        <is>
          <t>未着手</t>
        </is>
      </c>
      <c r="J115" s="36" t="n"/>
      <c r="K115" s="37" t="n"/>
    </row>
    <row r="116" ht="30" customHeight="1">
      <c r="A116" s="32" t="n">
        <v>112</v>
      </c>
      <c r="B116" s="33">
        <f>使い方!$B$5+7</f>
        <v/>
      </c>
      <c r="C116" s="34">
        <f>CHOOSE(WEEKDAY(B116),"日","月","火","水","木","金","土")</f>
        <v/>
      </c>
      <c r="D116" s="35" t="inlineStr">
        <is>
          <t>1週以内</t>
        </is>
      </c>
      <c r="E116" s="26" t="inlineStr">
        <is>
          <t>J 終わったあと</t>
        </is>
      </c>
      <c r="F116" s="10" t="inlineStr">
        <is>
          <t>参加者へ次回のお知らせ</t>
        </is>
      </c>
      <c r="G116" s="26" t="inlineStr">
        <is>
          <t>希望された方へ。第2回の日付だけでも早く伝える</t>
        </is>
      </c>
      <c r="H116" s="27" t="n"/>
      <c r="I116" s="27" t="inlineStr">
        <is>
          <t>未着手</t>
        </is>
      </c>
      <c r="J116" s="36" t="n"/>
      <c r="K116" s="37" t="n"/>
    </row>
    <row r="117" ht="30" customHeight="1">
      <c r="A117" s="32" t="n">
        <v>113</v>
      </c>
      <c r="B117" s="33">
        <f>使い方!$B$5+14</f>
        <v/>
      </c>
      <c r="C117" s="34">
        <f>CHOOSE(WEEKDAY(B117),"日","月","火","水","木","金","土")</f>
        <v/>
      </c>
      <c r="D117" s="35" t="inlineStr">
        <is>
          <t>2週以内</t>
        </is>
      </c>
      <c r="E117" s="26" t="inlineStr">
        <is>
          <t>J 終わったあと</t>
        </is>
      </c>
      <c r="F117" s="10" t="inlineStr">
        <is>
          <t>運営委員会・事務局へ報告する</t>
        </is>
      </c>
      <c r="G117" s="26" t="inlineStr">
        <is>
          <t>人数だけでなく、その日に生まれた会話や関係も書く</t>
        </is>
      </c>
      <c r="H117" s="27" t="n"/>
      <c r="I117" s="27" t="inlineStr">
        <is>
          <t>未着手</t>
        </is>
      </c>
      <c r="J117" s="36" t="n"/>
      <c r="K117" s="37" t="inlineStr">
        <is>
          <t>12月29日は年末休みの可能性。12月28日までに</t>
        </is>
      </c>
    </row>
    <row r="118" ht="30" customHeight="1">
      <c r="A118" s="32" t="n">
        <v>114</v>
      </c>
      <c r="B118" s="33">
        <f>使い方!$B$5+14</f>
        <v/>
      </c>
      <c r="C118" s="34">
        <f>CHOOSE(WEEKDAY(B118),"日","月","火","水","木","金","土")</f>
        <v/>
      </c>
      <c r="D118" s="35" t="inlineStr">
        <is>
          <t>2週以内</t>
        </is>
      </c>
      <c r="E118" s="26" t="inlineStr">
        <is>
          <t>J 終わったあと</t>
        </is>
      </c>
      <c r="F118" s="10" t="inlineStr">
        <is>
          <t>参加者カードを整理し、保管する</t>
        </is>
      </c>
      <c r="G118" s="26" t="inlineStr">
        <is>
          <t>次回「カフェ以外で会いましたか」を聞くための土台になります</t>
        </is>
      </c>
      <c r="H118" s="27" t="n"/>
      <c r="I118" s="27" t="inlineStr">
        <is>
          <t>未着手</t>
        </is>
      </c>
      <c r="J118" s="36" t="n"/>
      <c r="K118" s="37" t="inlineStr">
        <is>
          <t>12月29日は年末休みの可能性。12月28日までに</t>
        </is>
      </c>
    </row>
    <row r="119" ht="30" customHeight="1">
      <c r="A119" s="32" t="n">
        <v>115</v>
      </c>
      <c r="B119" s="33">
        <f>使い方!$B$5+14</f>
        <v/>
      </c>
      <c r="C119" s="34">
        <f>CHOOSE(WEEKDAY(B119),"日","月","火","水","木","金","土")</f>
        <v/>
      </c>
      <c r="D119" s="35" t="inlineStr">
        <is>
          <t>2週以内</t>
        </is>
      </c>
      <c r="E119" s="26" t="inlineStr">
        <is>
          <t>J 終わったあと</t>
        </is>
      </c>
      <c r="F119" s="10" t="inlineStr">
        <is>
          <t>盆栽の続きを希望した方へ連絡する</t>
        </is>
      </c>
      <c r="G119" s="26" t="inlineStr">
        <is>
          <t>熱があるうちに。2週間空くと、気持ちは戻ってしまいます</t>
        </is>
      </c>
      <c r="H119" s="27" t="n"/>
      <c r="I119" s="27" t="inlineStr">
        <is>
          <t>未着手</t>
        </is>
      </c>
      <c r="J119" s="36" t="n"/>
      <c r="K119" s="37" t="inlineStr">
        <is>
          <t>12月29日は年末休みの可能性。12月28日までに</t>
        </is>
      </c>
    </row>
  </sheetData>
  <autoFilter ref="A4:K119"/>
  <conditionalFormatting sqref="A5:K119">
    <cfRule type="expression" priority="1" dxfId="0" stopIfTrue="0">
      <formula>AND($B5&lt;TODAY(),$I5&lt;&gt;"完了",$I5&lt;&gt;"対象外")</formula>
    </cfRule>
    <cfRule type="expression" priority="2" dxfId="1" stopIfTrue="1">
      <formula>$I5="完了"</formula>
    </cfRule>
  </conditionalFormatting>
  <dataValidations count="1">
    <dataValidation sqref="I5:I119" showDropDown="0" showInputMessage="0" showErrorMessage="0" allowBlank="1" promptTitle="状況" prompt="選んでください" type="list">
      <formula1>"未着手,準備中,完了,対象外"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2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5" customWidth="1" min="2" max="2"/>
    <col width="9" customWidth="1" min="3" max="3"/>
    <col width="56" customWidth="1" min="4" max="4"/>
    <col width="8" customWidth="1" min="5" max="5"/>
    <col width="8" customWidth="1" min="6" max="6"/>
    <col width="8" customWidth="1" min="7" max="7"/>
    <col width="34" customWidth="1" min="8" max="8"/>
  </cols>
  <sheetData>
    <row r="1">
      <c r="A1" s="19" t="inlineStr">
        <is>
          <t>逆算スケジュール　いつ、何が締切になるか</t>
        </is>
      </c>
    </row>
    <row r="2">
      <c r="A2" s="20" t="inlineStr">
        <is>
          <t>件数は「準備リスト」から自動で数えています。件数の多い週が、人手のいる週です。</t>
        </is>
      </c>
    </row>
    <row r="4" ht="22" customHeight="1">
      <c r="A4" s="21" t="inlineStr">
        <is>
          <t>締切日</t>
        </is>
      </c>
      <c r="B4" s="21" t="inlineStr">
        <is>
          <t>曜</t>
        </is>
      </c>
      <c r="C4" s="21" t="inlineStr">
        <is>
          <t>時期</t>
        </is>
      </c>
      <c r="D4" s="21" t="inlineStr">
        <is>
          <t>この時期の山場</t>
        </is>
      </c>
      <c r="E4" s="21" t="inlineStr">
        <is>
          <t>件数</t>
        </is>
      </c>
      <c r="F4" s="21" t="inlineStr">
        <is>
          <t>完了</t>
        </is>
      </c>
      <c r="G4" s="21" t="inlineStr">
        <is>
          <t>残り</t>
        </is>
      </c>
      <c r="H4" s="21" t="inlineStr">
        <is>
          <t>気をつけること</t>
        </is>
      </c>
    </row>
    <row r="5" ht="30" customHeight="1">
      <c r="A5" s="38">
        <f>使い方!$B$5-81</f>
        <v/>
      </c>
      <c r="B5" s="34">
        <f>CHOOSE(WEEKDAY(A5),"日","月","火","水","木","金","土")</f>
        <v/>
      </c>
      <c r="C5" s="39" t="inlineStr">
        <is>
          <t>9/25まで</t>
        </is>
      </c>
      <c r="D5" s="10" t="inlineStr">
        <is>
          <t>チラシの原稿、盆栽の打ち合わせ、ふりかえりの問い。10/26の役場提出から逆算した前倒し分</t>
        </is>
      </c>
      <c r="E5" s="24">
        <f>COUNTIF(準備リスト!$D$5:$D$119,$C5)</f>
        <v/>
      </c>
      <c r="F5" s="40">
        <f>COUNTIFS(準備リスト!$D$5:$D$119,$C5,準備リスト!$I$5:$I$119,"完了")</f>
        <v/>
      </c>
      <c r="G5" s="41">
        <f>E5-F5</f>
        <v/>
      </c>
      <c r="H5" s="42" t="inlineStr">
        <is>
          <t>9/25（金）。開催日を動かすときは、ここも見直す</t>
        </is>
      </c>
    </row>
    <row r="6" ht="30" customHeight="1">
      <c r="A6" s="38">
        <f>使い方!$B$5-56</f>
        <v/>
      </c>
      <c r="B6" s="34">
        <f>CHOOSE(WEEKDAY(A6),"日","月","火","水","木","金","土")</f>
        <v/>
      </c>
      <c r="C6" s="39" t="inlineStr">
        <is>
          <t>8週前</t>
        </is>
      </c>
      <c r="D6" s="10" t="inlineStr">
        <is>
          <t>町広報の掲載締切を確認する。開催伺いの決裁を出す</t>
        </is>
      </c>
      <c r="E6" s="24">
        <f>COUNTIF(準備リスト!$D$5:$D$119,$C6)</f>
        <v/>
      </c>
      <c r="F6" s="40">
        <f>COUNTIFS(準備リスト!$D$5:$D$119,$C6,準備リスト!$I$5:$I$119,"完了")</f>
        <v/>
      </c>
      <c r="G6" s="41">
        <f>E6-F6</f>
        <v/>
      </c>
      <c r="H6" s="42" t="inlineStr">
        <is>
          <t>10/20。広報は9月中に動く</t>
        </is>
      </c>
    </row>
    <row r="7" ht="30" customHeight="1">
      <c r="A7" s="38">
        <f>使い方!$B$5-50</f>
        <v/>
      </c>
      <c r="B7" s="34">
        <f>CHOOSE(WEEKDAY(A7),"日","月","火","水","木","金","土")</f>
        <v/>
      </c>
      <c r="C7" s="39" t="inlineStr">
        <is>
          <t>10/26まで</t>
        </is>
      </c>
      <c r="D7" s="10" t="inlineStr">
        <is>
          <t>チラシの印刷を終える</t>
        </is>
      </c>
      <c r="E7" s="24">
        <f>COUNTIF(準備リスト!$D$5:$D$119,$C7)</f>
        <v/>
      </c>
      <c r="F7" s="40">
        <f>COUNTIFS(準備リスト!$D$5:$D$119,$C7,準備リスト!$I$5:$I$119,"完了")</f>
        <v/>
      </c>
      <c r="G7" s="41">
        <f>E7-F7</f>
        <v/>
      </c>
      <c r="H7" s="42" t="inlineStr">
        <is>
          <t>10/26までに役場へ持っていく必要があります</t>
        </is>
      </c>
    </row>
    <row r="8" ht="30" customHeight="1">
      <c r="A8" s="38">
        <f>使い方!$B$5-49</f>
        <v/>
      </c>
      <c r="B8" s="34">
        <f>CHOOSE(WEEKDAY(A8),"日","月","火","水","木","金","土")</f>
        <v/>
      </c>
      <c r="C8" s="39" t="inlineStr">
        <is>
          <t>7週前</t>
        </is>
      </c>
      <c r="D8" s="10" t="inlineStr">
        <is>
          <t>会場の使用申請。参加記念品の見積と発注</t>
        </is>
      </c>
      <c r="E8" s="24">
        <f>COUNTIF(準備リスト!$D$5:$D$119,$C8)</f>
        <v/>
      </c>
      <c r="F8" s="40">
        <f>COUNTIFS(準備リスト!$D$5:$D$119,$C8,準備リスト!$I$5:$I$119,"完了")</f>
        <v/>
      </c>
      <c r="G8" s="41">
        <f>E8-F8</f>
        <v/>
      </c>
      <c r="H8" s="43" t="n"/>
    </row>
    <row r="9" ht="30" customHeight="1">
      <c r="A9" s="38">
        <f>使い方!$B$5-42</f>
        <v/>
      </c>
      <c r="B9" s="34">
        <f>CHOOSE(WEEKDAY(A9),"日","月","火","水","木","金","土")</f>
        <v/>
      </c>
      <c r="C9" s="39" t="inlineStr">
        <is>
          <t>6週前</t>
        </is>
      </c>
      <c r="D9" s="10" t="inlineStr">
        <is>
          <t>予算の配分を決める。段ボールベッドの借用・台数、防災グッズの購入リスト、防災バッグの借用を依頼する</t>
        </is>
      </c>
      <c r="E9" s="24">
        <f>COUNTIF(準備リスト!$D$5:$D$119,$C9)</f>
        <v/>
      </c>
      <c r="F9" s="40">
        <f>COUNTIFS(準備リスト!$D$5:$D$119,$C9,準備リスト!$I$5:$I$119,"完了")</f>
        <v/>
      </c>
      <c r="G9" s="41">
        <f>E9-F9</f>
        <v/>
      </c>
      <c r="H9" s="42" t="inlineStr">
        <is>
          <t>11/3は文化の日。前後にずらす</t>
        </is>
      </c>
    </row>
    <row r="10" ht="30" customHeight="1">
      <c r="A10" s="38">
        <f>使い方!$B$5-35</f>
        <v/>
      </c>
      <c r="B10" s="34">
        <f>CHOOSE(WEEKDAY(A10),"日","月","火","水","木","金","土")</f>
        <v/>
      </c>
      <c r="C10" s="39" t="inlineStr">
        <is>
          <t>5週前</t>
        </is>
      </c>
      <c r="D10" s="10" t="inlineStr">
        <is>
          <t>講座の構成と話す人を決める。防災士へ依頼文を出す。防災グッズと段ボールベッド不足分を発注する</t>
        </is>
      </c>
      <c r="E10" s="24">
        <f>COUNTIF(準備リスト!$D$5:$D$119,$C10)</f>
        <v/>
      </c>
      <c r="F10" s="40">
        <f>COUNTIFS(準備リスト!$D$5:$D$119,$C10,準備リスト!$I$5:$I$119,"完了")</f>
        <v/>
      </c>
      <c r="G10" s="41">
        <f>E10-F10</f>
        <v/>
      </c>
      <c r="H10" s="42" t="inlineStr">
        <is>
          <t>発注の納期に注意</t>
        </is>
      </c>
    </row>
    <row r="11" ht="30" customHeight="1">
      <c r="A11" s="38">
        <f>使い方!$B$5-28</f>
        <v/>
      </c>
      <c r="B11" s="34">
        <f>CHOOSE(WEEKDAY(A11),"日","月","火","水","木","金","土")</f>
        <v/>
      </c>
      <c r="C11" s="39" t="inlineStr">
        <is>
          <t>4週前</t>
        </is>
      </c>
      <c r="D11" s="10" t="inlineStr">
        <is>
          <t>回覧を依頼（回りきるのに2〜3週）。盆栽の材料を発注。防災士の応援人数を確定する</t>
        </is>
      </c>
      <c r="E11" s="24">
        <f>COUNTIF(準備リスト!$D$5:$D$119,$C11)</f>
        <v/>
      </c>
      <c r="F11" s="40">
        <f>COUNTIFS(準備リスト!$D$5:$D$119,$C11,準備リスト!$I$5:$I$119,"完了")</f>
        <v/>
      </c>
      <c r="G11" s="41">
        <f>E11-F11</f>
        <v/>
      </c>
      <c r="H11" s="42" t="inlineStr">
        <is>
          <t>自由見学のコーナー数は、防災士が何人来られるかで決まります</t>
        </is>
      </c>
    </row>
    <row r="12" ht="30" customHeight="1">
      <c r="A12" s="38">
        <f>使い方!$B$5-21</f>
        <v/>
      </c>
      <c r="B12" s="34">
        <f>CHOOSE(WEEKDAY(A12),"日","月","火","水","木","金","土")</f>
        <v/>
      </c>
      <c r="C12" s="39" t="inlineStr">
        <is>
          <t>3週前</t>
        </is>
      </c>
      <c r="D12" s="10" t="inlineStr">
        <is>
          <t>直接声かけを始める。掲示を各所へ。表示物・講座資料・各コーナーの説明札をつくる</t>
        </is>
      </c>
      <c r="E12" s="24">
        <f>COUNTIF(準備リスト!$D$5:$D$119,$C12)</f>
        <v/>
      </c>
      <c r="F12" s="40">
        <f>COUNTIFS(準備リスト!$D$5:$D$119,$C12,準備リスト!$I$5:$I$119,"完了")</f>
        <v/>
      </c>
      <c r="G12" s="41">
        <f>E12-F12</f>
        <v/>
      </c>
      <c r="H12" s="42" t="inlineStr">
        <is>
          <t>ここがいちばん忙しい週</t>
        </is>
      </c>
    </row>
    <row r="13" ht="30" customHeight="1">
      <c r="A13" s="38">
        <f>使い方!$B$5-14</f>
        <v/>
      </c>
      <c r="B13" s="34">
        <f>CHOOSE(WEEKDAY(A13),"日","月","火","水","木","金","土")</f>
        <v/>
      </c>
      <c r="C13" s="39" t="inlineStr">
        <is>
          <t>2週前</t>
        </is>
      </c>
      <c r="D13" s="10" t="inlineStr">
        <is>
          <t>役割分担と進行台本。レイアウト図。段ボールベッドの組み立て練習。記念品の袋詰め</t>
        </is>
      </c>
      <c r="E13" s="24">
        <f>COUNTIF(準備リスト!$D$5:$D$119,$C13)</f>
        <v/>
      </c>
      <c r="F13" s="40">
        <f>COUNTIFS(準備リスト!$D$5:$D$119,$C13,準備リスト!$I$5:$I$119,"完了")</f>
        <v/>
      </c>
      <c r="G13" s="41">
        <f>E13-F13</f>
        <v/>
      </c>
      <c r="H13" s="42" t="inlineStr">
        <is>
          <t>12月の行事と重なりやすい</t>
        </is>
      </c>
    </row>
    <row r="14" ht="30" customHeight="1">
      <c r="A14" s="38">
        <f>使い方!$B$5-7</f>
        <v/>
      </c>
      <c r="B14" s="34">
        <f>CHOOSE(WEEKDAY(A14),"日","月","火","水","木","金","土")</f>
        <v/>
      </c>
      <c r="C14" s="39" t="inlineStr">
        <is>
          <t>1週前</t>
        </is>
      </c>
      <c r="D14" s="10" t="inlineStr">
        <is>
          <t>動線のリハーサル（30分）。材料と備品の最終確認。参加見込み数を固める</t>
        </is>
      </c>
      <c r="E14" s="24">
        <f>COUNTIF(準備リスト!$D$5:$D$119,$C14)</f>
        <v/>
      </c>
      <c r="F14" s="40">
        <f>COUNTIFS(準備リスト!$D$5:$D$119,$C14,準備リスト!$I$5:$I$119,"完了")</f>
        <v/>
      </c>
      <c r="G14" s="41">
        <f>E14-F14</f>
        <v/>
      </c>
      <c r="H14" s="43" t="n"/>
    </row>
    <row r="15" ht="30" customHeight="1">
      <c r="A15" s="38">
        <f>使い方!$B$5-1</f>
        <v/>
      </c>
      <c r="B15" s="34">
        <f>CHOOSE(WEEKDAY(A15),"日","月","火","水","木","金","土")</f>
        <v/>
      </c>
      <c r="C15" s="39" t="inlineStr">
        <is>
          <t>前日</t>
        </is>
      </c>
      <c r="D15" s="10" t="inlineStr">
        <is>
          <t>12/14（月）15:00から会場設営。声をかけた方へリマインドの電話</t>
        </is>
      </c>
      <c r="E15" s="24">
        <f>COUNTIF(準備リスト!$D$5:$D$119,$C15)</f>
        <v/>
      </c>
      <c r="F15" s="40">
        <f>COUNTIFS(準備リスト!$D$5:$D$119,$C15,準備リスト!$I$5:$I$119,"完了")</f>
        <v/>
      </c>
      <c r="G15" s="41">
        <f>E15-F15</f>
        <v/>
      </c>
      <c r="H15" s="42" t="inlineStr">
        <is>
          <t>会場が午後から使えるか確認</t>
        </is>
      </c>
    </row>
    <row r="16" ht="30" customHeight="1">
      <c r="A16" s="38">
        <f>使い方!$B$5+0</f>
        <v/>
      </c>
      <c r="B16" s="34">
        <f>CHOOSE(WEEKDAY(A16),"日","月","火","水","木","金","土")</f>
        <v/>
      </c>
      <c r="C16" s="39" t="inlineStr">
        <is>
          <t>当日</t>
        </is>
      </c>
      <c r="D16" s="10" t="inlineStr">
        <is>
          <t>8:30集合。9:00開場、9:30スタート、12:00終了</t>
        </is>
      </c>
      <c r="E16" s="24">
        <f>COUNTIF(準備リスト!$D$5:$D$119,$C16)</f>
        <v/>
      </c>
      <c r="F16" s="40">
        <f>COUNTIFS(準備リスト!$D$5:$D$119,$C16,準備リスト!$I$5:$I$119,"完了")</f>
        <v/>
      </c>
      <c r="G16" s="41">
        <f>E16-F16</f>
        <v/>
      </c>
      <c r="H16" s="42" t="inlineStr">
        <is>
          <t>「当日の流れ」シートを見ながら</t>
        </is>
      </c>
    </row>
    <row r="17" ht="30" customHeight="1">
      <c r="A17" s="38">
        <f>使い方!$B$5+0</f>
        <v/>
      </c>
      <c r="B17" s="34">
        <f>CHOOSE(WEEKDAY(A17),"日","月","火","水","木","金","土")</f>
        <v/>
      </c>
      <c r="C17" s="39" t="inlineStr">
        <is>
          <t>当日中</t>
        </is>
      </c>
      <c r="D17" s="10" t="inlineStr">
        <is>
          <t>片付けのあと、15分でふりかえり。開催記録を書く</t>
        </is>
      </c>
      <c r="E17" s="24">
        <f>COUNTIF(準備リスト!$D$5:$D$119,$C17)</f>
        <v/>
      </c>
      <c r="F17" s="40">
        <f>COUNTIFS(準備リスト!$D$5:$D$119,$C17,準備リスト!$I$5:$I$119,"完了")</f>
        <v/>
      </c>
      <c r="G17" s="41">
        <f>E17-F17</f>
        <v/>
      </c>
      <c r="H17" s="42" t="inlineStr">
        <is>
          <t>その場で書かないと忘れます</t>
        </is>
      </c>
    </row>
    <row r="18" ht="30" customHeight="1">
      <c r="A18" s="38">
        <f>使い方!$B$5+3</f>
        <v/>
      </c>
      <c r="B18" s="34">
        <f>CHOOSE(WEEKDAY(A18),"日","月","火","水","木","金","土")</f>
        <v/>
      </c>
      <c r="C18" s="39" t="inlineStr">
        <is>
          <t>3日以内</t>
        </is>
      </c>
      <c r="D18" s="10" t="inlineStr">
        <is>
          <t>講師・協力者・会場へお礼</t>
        </is>
      </c>
      <c r="E18" s="24">
        <f>COUNTIF(準備リスト!$D$5:$D$119,$C18)</f>
        <v/>
      </c>
      <c r="F18" s="40">
        <f>COUNTIFS(準備リスト!$D$5:$D$119,$C18,準備リスト!$I$5:$I$119,"完了")</f>
        <v/>
      </c>
      <c r="G18" s="41">
        <f>E18-F18</f>
        <v/>
      </c>
      <c r="H18" s="42" t="inlineStr">
        <is>
          <t>高橋文之さんへは写真を添えて</t>
        </is>
      </c>
    </row>
    <row r="19" ht="30" customHeight="1">
      <c r="A19" s="38">
        <f>使い方!$B$5+7</f>
        <v/>
      </c>
      <c r="B19" s="34">
        <f>CHOOSE(WEEKDAY(A19),"日","月","火","水","木","金","土")</f>
        <v/>
      </c>
      <c r="C19" s="39" t="inlineStr">
        <is>
          <t>1週以内</t>
        </is>
      </c>
      <c r="D19" s="10" t="inlineStr">
        <is>
          <t>写真の整理、精算、参加者へ次回のお知らせ</t>
        </is>
      </c>
      <c r="E19" s="24">
        <f>COUNTIF(準備リスト!$D$5:$D$119,$C19)</f>
        <v/>
      </c>
      <c r="F19" s="40">
        <f>COUNTIFS(準備リスト!$D$5:$D$119,$C19,準備リスト!$I$5:$I$119,"完了")</f>
        <v/>
      </c>
      <c r="G19" s="41">
        <f>E19-F19</f>
        <v/>
      </c>
      <c r="H19" s="42" t="inlineStr">
        <is>
          <t>12/22。年内に済ませる</t>
        </is>
      </c>
    </row>
    <row r="20" ht="30" customHeight="1">
      <c r="A20" s="38">
        <f>使い方!$B$5+14</f>
        <v/>
      </c>
      <c r="B20" s="34">
        <f>CHOOSE(WEEKDAY(A20),"日","月","火","水","木","金","土")</f>
        <v/>
      </c>
      <c r="C20" s="39" t="inlineStr">
        <is>
          <t>2週以内</t>
        </is>
      </c>
      <c r="D20" s="10" t="inlineStr">
        <is>
          <t>運営委員会・事務局へ報告。参加者カードの整理。盆栽の続き希望者へ連絡</t>
        </is>
      </c>
      <c r="E20" s="24">
        <f>COUNTIF(準備リスト!$D$5:$D$119,$C20)</f>
        <v/>
      </c>
      <c r="F20" s="40">
        <f>COUNTIFS(準備リスト!$D$5:$D$119,$C20,準備リスト!$I$5:$I$119,"完了")</f>
        <v/>
      </c>
      <c r="G20" s="41">
        <f>E20-F20</f>
        <v/>
      </c>
      <c r="H20" s="42" t="inlineStr">
        <is>
          <t>12/29は年末休みの可能性。12/28までに</t>
        </is>
      </c>
    </row>
    <row r="21">
      <c r="A21" s="23" t="n"/>
      <c r="B21" s="23" t="n"/>
      <c r="C21" s="23" t="n"/>
      <c r="D21" s="44" t="inlineStr">
        <is>
          <t>合計</t>
        </is>
      </c>
      <c r="E21" s="45">
        <f>SUM(E5:E20)</f>
        <v/>
      </c>
      <c r="F21" s="45">
        <f>SUM(F5:F20)</f>
        <v/>
      </c>
      <c r="G21" s="45">
        <f>SUM(G5:G20)</f>
        <v/>
      </c>
      <c r="H21" s="23" t="n"/>
    </row>
  </sheetData>
  <conditionalFormatting sqref="A5:H20">
    <cfRule type="expression" priority="1" dxfId="0" stopIfTrue="0">
      <formula>AND($A5&lt;TODAY(),$G5&gt;0)</formula>
    </cfRule>
  </conditionalFormatting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40" customWidth="1" min="2" max="2"/>
    <col width="10" customWidth="1" min="3" max="3"/>
    <col width="8" customWidth="1" min="4" max="4"/>
    <col width="12" customWidth="1" min="5" max="5"/>
    <col width="30" customWidth="1" min="6" max="6"/>
  </cols>
  <sheetData>
    <row r="1">
      <c r="A1" s="19" t="inlineStr">
        <is>
          <t>予算 50,000円　配分のたたき台</t>
        </is>
      </c>
    </row>
    <row r="2">
      <c r="A2" s="20" t="inlineStr">
        <is>
          <t>黄色いセル（単価・数量）を入れ直すと、金額・合計・残額が自動で計算し直されます。</t>
        </is>
      </c>
    </row>
    <row r="4">
      <c r="A4" s="4" t="inlineStr">
        <is>
          <t>予算の総額</t>
        </is>
      </c>
      <c r="B4" s="46" t="n">
        <v>50000</v>
      </c>
      <c r="C4" s="47" t="inlineStr">
        <is>
          <t>← 9/2時点で示された額</t>
        </is>
      </c>
    </row>
    <row r="5">
      <c r="A5" s="4" t="inlineStr">
        <is>
          <t>参加者の見込み</t>
        </is>
      </c>
      <c r="B5" s="48" t="n">
        <v>50</v>
      </c>
      <c r="C5" s="31" t="inlineStr">
        <is>
          <t>← 数量の計算に使っています</t>
        </is>
      </c>
    </row>
    <row r="7" ht="22" customHeight="1">
      <c r="A7" s="21" t="inlineStr">
        <is>
          <t>費目</t>
        </is>
      </c>
      <c r="B7" s="21" t="inlineStr">
        <is>
          <t>内訳・考え方</t>
        </is>
      </c>
      <c r="C7" s="21" t="inlineStr">
        <is>
          <t>単価</t>
        </is>
      </c>
      <c r="D7" s="21" t="inlineStr">
        <is>
          <t>数量</t>
        </is>
      </c>
      <c r="E7" s="21" t="inlineStr">
        <is>
          <t>金額</t>
        </is>
      </c>
      <c r="F7" s="21" t="inlineStr">
        <is>
          <t>備考</t>
        </is>
      </c>
    </row>
    <row r="8" ht="32" customHeight="1">
      <c r="A8" s="25" t="inlineStr">
        <is>
          <t>茶菓・飲みもの</t>
        </is>
      </c>
      <c r="B8" s="26" t="inlineStr">
        <is>
          <t>お茶・コーヒー・お菓子。定員50人＋予備5人分</t>
        </is>
      </c>
      <c r="C8" s="49" t="n">
        <v>150</v>
      </c>
      <c r="D8" s="49">
        <f>$B$5+5</f>
        <v/>
      </c>
      <c r="E8" s="50">
        <f>C8*D8</f>
        <v/>
      </c>
      <c r="F8" s="51" t="inlineStr">
        <is>
          <t>個包装で、原材料表示のあるもの</t>
        </is>
      </c>
    </row>
    <row r="9" ht="32" customHeight="1">
      <c r="A9" s="25" t="inlineStr">
        <is>
          <t>参加記念品</t>
        </is>
      </c>
      <c r="B9" s="26" t="inlineStr">
        <is>
          <t>持ち帰って家で目に入るもの。次回の日付を書いたカードを添える</t>
        </is>
      </c>
      <c r="C9" s="49" t="n">
        <v>150</v>
      </c>
      <c r="D9" s="49">
        <f>$B$5+5</f>
        <v/>
      </c>
      <c r="E9" s="50">
        <f>C9*D9</f>
        <v/>
      </c>
      <c r="F9" s="51" t="inlineStr">
        <is>
          <t>町内の作業所でつくったものにすると、作業所支援にもなります</t>
        </is>
      </c>
    </row>
    <row r="10" ht="32" customHeight="1">
      <c r="A10" s="25" t="inlineStr">
        <is>
          <t>最新の防災グッズ</t>
        </is>
      </c>
      <c r="B10" s="26" t="inlineStr">
        <is>
          <t>展示用に購入する。さわれるようにして並べる</t>
        </is>
      </c>
      <c r="C10" s="49" t="n">
        <v>10000</v>
      </c>
      <c r="D10" s="49" t="n">
        <v>1</v>
      </c>
      <c r="E10" s="50">
        <f>C10*D10</f>
        <v/>
      </c>
      <c r="F10" s="51" t="inlineStr">
        <is>
          <t>「見たことがない」「さわってみたい」と思えるものを優先する</t>
        </is>
      </c>
    </row>
    <row r="11" ht="32" customHeight="1">
      <c r="A11" s="25" t="inlineStr">
        <is>
          <t>段ボールベッド</t>
        </is>
      </c>
      <c r="B11" s="26" t="inlineStr">
        <is>
          <t>町の備蓄から借り、不足分だけ購入する</t>
        </is>
      </c>
      <c r="C11" s="49" t="n">
        <v>3000</v>
      </c>
      <c r="D11" s="49" t="n">
        <v>0</v>
      </c>
      <c r="E11" s="50">
        <f>C11*D11</f>
        <v/>
      </c>
      <c r="F11" s="51" t="inlineStr">
        <is>
          <t>借用でまかなう想定のため数量0。購入するなら台数を入れてください（1台あたり約3,000円）</t>
        </is>
      </c>
    </row>
    <row r="12" ht="32" customHeight="1">
      <c r="A12" s="25" t="inlineStr">
        <is>
          <t>盆栽の材料</t>
        </is>
      </c>
      <c r="B12" s="26" t="inlineStr">
        <is>
          <t>苗・鉢・用土・鉢底ネット・化粧砂。1人1セット</t>
        </is>
      </c>
      <c r="C12" s="49" t="n">
        <v>700</v>
      </c>
      <c r="D12" s="49" t="n">
        <v>15</v>
      </c>
      <c r="E12" s="50">
        <f>C12*D12</f>
        <v/>
      </c>
      <c r="F12" s="51" t="inlineStr">
        <is>
          <t>希望者15人分。参加者全員分は予算に入りません</t>
        </is>
      </c>
    </row>
    <row r="13" ht="32" customHeight="1">
      <c r="A13" s="25" t="inlineStr">
        <is>
          <t>印刷</t>
        </is>
      </c>
      <c r="B13" s="26" t="inlineStr">
        <is>
          <t>チラシ、講座の配布資料、参加者カード、表示物、各コーナーの説明札</t>
        </is>
      </c>
      <c r="C13" s="49" t="n">
        <v>0</v>
      </c>
      <c r="D13" s="49" t="n">
        <v>1</v>
      </c>
      <c r="E13" s="50">
        <f>C13*D13</f>
        <v/>
      </c>
      <c r="F13" s="51" t="inlineStr">
        <is>
          <t>社協内の印刷でまかなうため0円（9/15のご指示）</t>
        </is>
      </c>
    </row>
    <row r="14" ht="32" customHeight="1">
      <c r="A14" s="25" t="inlineStr">
        <is>
          <t>消耗品</t>
        </is>
      </c>
      <c r="B14" s="26" t="inlineStr">
        <is>
          <t>名札、紙コップ、紙皿、おしぼり、ゴミ袋、文具</t>
        </is>
      </c>
      <c r="C14" s="49" t="n">
        <v>2500</v>
      </c>
      <c r="D14" s="49" t="n">
        <v>1</v>
      </c>
      <c r="E14" s="50">
        <f>C14*D14</f>
        <v/>
      </c>
      <c r="F14" s="51" t="n"/>
    </row>
    <row r="15" ht="32" customHeight="1">
      <c r="A15" s="25" t="inlineStr">
        <is>
          <t>講師・協力者へのお礼</t>
        </is>
      </c>
      <c r="B15" s="26" t="inlineStr">
        <is>
          <t>高橋文之さん、防災士、配食ボランティアのみなさんへ</t>
        </is>
      </c>
      <c r="C15" s="49" t="n">
        <v>3000</v>
      </c>
      <c r="D15" s="49" t="n">
        <v>1</v>
      </c>
      <c r="E15" s="50">
        <f>C15*D15</f>
        <v/>
      </c>
      <c r="F15" s="51" t="inlineStr">
        <is>
          <t>品物にするか謝金にするか、規程を確認してください</t>
        </is>
      </c>
    </row>
    <row r="16">
      <c r="A16" s="23" t="n"/>
      <c r="B16" s="52" t="inlineStr">
        <is>
          <t>合計</t>
        </is>
      </c>
      <c r="C16" s="23" t="n"/>
      <c r="D16" s="23" t="n"/>
      <c r="E16" s="53">
        <f>SUM(E8:E15)</f>
        <v/>
      </c>
      <c r="F16" s="23" t="n"/>
    </row>
    <row r="17">
      <c r="A17" s="23" t="n"/>
      <c r="B17" s="52" t="inlineStr">
        <is>
          <t>予算の残り</t>
        </is>
      </c>
      <c r="C17" s="23" t="n"/>
      <c r="D17" s="23" t="n"/>
      <c r="E17" s="54">
        <f>$B$4-E16</f>
        <v/>
      </c>
      <c r="F17" s="55" t="inlineStr">
        <is>
          <t>マイナスになったら、どこかを削ってください</t>
        </is>
      </c>
    </row>
    <row r="19" ht="30" customHeight="1">
      <c r="A19" s="28" t="inlineStr">
        <is>
          <t>※ 単価・数量はすべて、この表をつくった時点での仮置きです。実際の見積に置き換えてください。総額50,000円は9/2時点で示された額です。参加費は取らないことになったため（9/4）、収入はありません。チラシで定員が50人になったため、茶菓と記念品を55人分で組み直し、単価を下げました。段ボールベッドは町の備蓄から借りる想定で数量0にしています。不足分を買う場合は1台あたり約3,000円かかり、その分は記念品の単価か、盆栽の材料の数を減らして捻出することになります。防災バッグは役場総務課防災対策室からの借用のため、費用は見込んでいません。盆栽の材料は希望者15人分で組んでいます。盆栽の道具（はさみ・じょうろ・シート等）は手持ちや借用でまかなうため、予算には計上していません（9/15のご指示）。合計と残りは下の行に自動で出ます。残りがマイナスになったら、どこかを削ってください。</t>
        </is>
      </c>
    </row>
    <row r="20"/>
    <row r="21"/>
  </sheetData>
  <mergeCells count="1">
    <mergeCell ref="A19:F21"/>
  </mergeCells>
  <conditionalFormatting sqref="E17">
    <cfRule type="expression" priority="1" dxfId="2">
      <formula>$E$17&lt;0</formula>
    </cfRule>
  </conditionalFormatting>
  <pageMargins left="0.75" right="0.75" top="1" bottom="1" header="0.5" footer="0.5"/>
  <pageSetup orientation="landscape" paperSize="9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showGridLines="0"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8" customWidth="1" min="4" max="4"/>
    <col width="3" customWidth="1" min="5" max="5"/>
    <col width="24" customWidth="1" min="6" max="6"/>
    <col width="8" customWidth="1" min="7" max="7"/>
    <col width="8" customWidth="1" min="8" max="8"/>
    <col width="8" customWidth="1" min="9" max="9"/>
  </cols>
  <sheetData>
    <row r="1">
      <c r="A1" s="19" t="inlineStr">
        <is>
          <t>準備の山と、進み具合</t>
        </is>
      </c>
    </row>
    <row r="2">
      <c r="A2" s="20" t="inlineStr">
        <is>
          <t>数字はすべて「準備リスト」から自動で数えています。状況を「完了」にすると、表もグラフも動きます。</t>
        </is>
      </c>
    </row>
    <row r="4">
      <c r="A4" s="56" t="inlineStr">
        <is>
          <t>時期</t>
        </is>
      </c>
      <c r="B4" s="56" t="inlineStr">
        <is>
          <t>完了</t>
        </is>
      </c>
      <c r="C4" s="56" t="inlineStr">
        <is>
          <t>残り</t>
        </is>
      </c>
      <c r="D4" s="56" t="inlineStr">
        <is>
          <t>合計</t>
        </is>
      </c>
      <c r="F4" s="56" t="inlineStr">
        <is>
          <t>分野</t>
        </is>
      </c>
      <c r="G4" s="56" t="inlineStr">
        <is>
          <t>完了</t>
        </is>
      </c>
      <c r="H4" s="56" t="inlineStr">
        <is>
          <t>残り</t>
        </is>
      </c>
      <c r="I4" s="56" t="inlineStr">
        <is>
          <t>合計</t>
        </is>
      </c>
    </row>
    <row r="5">
      <c r="A5" s="39" t="inlineStr">
        <is>
          <t>9/25まで</t>
        </is>
      </c>
      <c r="B5" s="40">
        <f>COUNTIFS(準備リスト!$D$5:$D$119,$A5,準備リスト!$I$5:$I$119,"完了")</f>
        <v/>
      </c>
      <c r="C5" s="40">
        <f>COUNTIF(準備リスト!$D$5:$D$119,$A5)-B5</f>
        <v/>
      </c>
      <c r="D5" s="57">
        <f>B5+C5</f>
        <v/>
      </c>
      <c r="F5" s="58" t="inlineStr">
        <is>
          <t>A 会場をおさえる</t>
        </is>
      </c>
      <c r="G5" s="40">
        <f>COUNTIFS(準備リスト!$E$5:$E$119,$F5,準備リスト!$I$5:$I$119,"完了")</f>
        <v/>
      </c>
      <c r="H5" s="40">
        <f>COUNTIF(準備リスト!$E$5:$E$119,$F5)-G5</f>
        <v/>
      </c>
      <c r="I5" s="57">
        <f>G5+H5</f>
        <v/>
      </c>
    </row>
    <row r="6">
      <c r="A6" s="39" t="inlineStr">
        <is>
          <t>8週前</t>
        </is>
      </c>
      <c r="B6" s="40">
        <f>COUNTIFS(準備リスト!$D$5:$D$119,$A6,準備リスト!$I$5:$I$119,"完了")</f>
        <v/>
      </c>
      <c r="C6" s="40">
        <f>COUNTIF(準備リスト!$D$5:$D$119,$A6)-B6</f>
        <v/>
      </c>
      <c r="D6" s="57">
        <f>B6+C6</f>
        <v/>
      </c>
      <c r="F6" s="58" t="inlineStr">
        <is>
          <t>B 事務の手続き</t>
        </is>
      </c>
      <c r="G6" s="40">
        <f>COUNTIFS(準備リスト!$E$5:$E$119,$F6,準備リスト!$I$5:$I$119,"完了")</f>
        <v/>
      </c>
      <c r="H6" s="40">
        <f>COUNTIF(準備リスト!$E$5:$E$119,$F6)-G6</f>
        <v/>
      </c>
      <c r="I6" s="57">
        <f>G6+H6</f>
        <v/>
      </c>
    </row>
    <row r="7">
      <c r="A7" s="39" t="inlineStr">
        <is>
          <t>10/26まで</t>
        </is>
      </c>
      <c r="B7" s="40">
        <f>COUNTIFS(準備リスト!$D$5:$D$119,$A7,準備リスト!$I$5:$I$119,"完了")</f>
        <v/>
      </c>
      <c r="C7" s="40">
        <f>COUNTIF(準備リスト!$D$5:$D$119,$A7)-B7</f>
        <v/>
      </c>
      <c r="D7" s="57">
        <f>B7+C7</f>
        <v/>
      </c>
      <c r="F7" s="58" t="inlineStr">
        <is>
          <t>C チラシと広報</t>
        </is>
      </c>
      <c r="G7" s="40">
        <f>COUNTIFS(準備リスト!$E$5:$E$119,$F7,準備リスト!$I$5:$I$119,"完了")</f>
        <v/>
      </c>
      <c r="H7" s="40">
        <f>COUNTIF(準備リスト!$E$5:$E$119,$F7)-G7</f>
        <v/>
      </c>
      <c r="I7" s="57">
        <f>G7+H7</f>
        <v/>
      </c>
    </row>
    <row r="8">
      <c r="A8" s="39" t="inlineStr">
        <is>
          <t>7週前</t>
        </is>
      </c>
      <c r="B8" s="40">
        <f>COUNTIFS(準備リスト!$D$5:$D$119,$A8,準備リスト!$I$5:$I$119,"完了")</f>
        <v/>
      </c>
      <c r="C8" s="40">
        <f>COUNTIF(準備リスト!$D$5:$D$119,$A8)-B8</f>
        <v/>
      </c>
      <c r="D8" s="57">
        <f>B8+C8</f>
        <v/>
      </c>
      <c r="F8" s="58" t="inlineStr">
        <is>
          <t>D 参加記念品</t>
        </is>
      </c>
      <c r="G8" s="40">
        <f>COUNTIFS(準備リスト!$E$5:$E$119,$F8,準備リスト!$I$5:$I$119,"完了")</f>
        <v/>
      </c>
      <c r="H8" s="40">
        <f>COUNTIF(準備リスト!$E$5:$E$119,$F8)-G8</f>
        <v/>
      </c>
      <c r="I8" s="57">
        <f>G8+H8</f>
        <v/>
      </c>
    </row>
    <row r="9">
      <c r="A9" s="39" t="inlineStr">
        <is>
          <t>6週前</t>
        </is>
      </c>
      <c r="B9" s="40">
        <f>COUNTIFS(準備リスト!$D$5:$D$119,$A9,準備リスト!$I$5:$I$119,"完了")</f>
        <v/>
      </c>
      <c r="C9" s="40">
        <f>COUNTIF(準備リスト!$D$5:$D$119,$A9)-B9</f>
        <v/>
      </c>
      <c r="D9" s="57">
        <f>B9+C9</f>
        <v/>
      </c>
      <c r="F9" s="58" t="inlineStr">
        <is>
          <t>E カフェで使う備品</t>
        </is>
      </c>
      <c r="G9" s="40">
        <f>COUNTIFS(準備リスト!$E$5:$E$119,$F9,準備リスト!$I$5:$I$119,"完了")</f>
        <v/>
      </c>
      <c r="H9" s="40">
        <f>COUNTIF(準備リスト!$E$5:$E$119,$F9)-G9</f>
        <v/>
      </c>
      <c r="I9" s="57">
        <f>G9+H9</f>
        <v/>
      </c>
    </row>
    <row r="10">
      <c r="A10" s="39" t="inlineStr">
        <is>
          <t>5週前</t>
        </is>
      </c>
      <c r="B10" s="40">
        <f>COUNTIFS(準備リスト!$D$5:$D$119,$A10,準備リスト!$I$5:$I$119,"完了")</f>
        <v/>
      </c>
      <c r="C10" s="40">
        <f>COUNTIF(準備リスト!$D$5:$D$119,$A10)-B10</f>
        <v/>
      </c>
      <c r="D10" s="57">
        <f>B10+C10</f>
        <v/>
      </c>
      <c r="F10" s="58" t="inlineStr">
        <is>
          <t>F 会場に貼る表示物</t>
        </is>
      </c>
      <c r="G10" s="40">
        <f>COUNTIFS(準備リスト!$E$5:$E$119,$F10,準備リスト!$I$5:$I$119,"完了")</f>
        <v/>
      </c>
      <c r="H10" s="40">
        <f>COUNTIF(準備リスト!$E$5:$E$119,$F10)-G10</f>
        <v/>
      </c>
      <c r="I10" s="57">
        <f>G10+H10</f>
        <v/>
      </c>
    </row>
    <row r="11">
      <c r="A11" s="39" t="inlineStr">
        <is>
          <t>4週前</t>
        </is>
      </c>
      <c r="B11" s="40">
        <f>COUNTIFS(準備リスト!$D$5:$D$119,$A11,準備リスト!$I$5:$I$119,"完了")</f>
        <v/>
      </c>
      <c r="C11" s="40">
        <f>COUNTIF(準備リスト!$D$5:$D$119,$A11)-B11</f>
        <v/>
      </c>
      <c r="D11" s="57">
        <f>B11+C11</f>
        <v/>
      </c>
      <c r="F11" s="58" t="inlineStr">
        <is>
          <t>G 盆栽ボランティアの準備</t>
        </is>
      </c>
      <c r="G11" s="40">
        <f>COUNTIFS(準備リスト!$E$5:$E$119,$F11,準備リスト!$I$5:$I$119,"完了")</f>
        <v/>
      </c>
      <c r="H11" s="40">
        <f>COUNTIF(準備リスト!$E$5:$E$119,$F11)-G11</f>
        <v/>
      </c>
      <c r="I11" s="57">
        <f>G11+H11</f>
        <v/>
      </c>
    </row>
    <row r="12">
      <c r="A12" s="39" t="inlineStr">
        <is>
          <t>3週前</t>
        </is>
      </c>
      <c r="B12" s="40">
        <f>COUNTIFS(準備リスト!$D$5:$D$119,$A12,準備リスト!$I$5:$I$119,"完了")</f>
        <v/>
      </c>
      <c r="C12" s="40">
        <f>COUNTIF(準備リスト!$D$5:$D$119,$A12)-B12</f>
        <v/>
      </c>
      <c r="D12" s="57">
        <f>B12+C12</f>
        <v/>
      </c>
      <c r="F12" s="58" t="inlineStr">
        <is>
          <t>H 災ボラ体験の資料</t>
        </is>
      </c>
      <c r="G12" s="40">
        <f>COUNTIFS(準備リスト!$E$5:$E$119,$F12,準備リスト!$I$5:$I$119,"完了")</f>
        <v/>
      </c>
      <c r="H12" s="40">
        <f>COUNTIF(準備リスト!$E$5:$E$119,$F12)-G12</f>
        <v/>
      </c>
      <c r="I12" s="57">
        <f>G12+H12</f>
        <v/>
      </c>
    </row>
    <row r="13">
      <c r="A13" s="39" t="inlineStr">
        <is>
          <t>2週前</t>
        </is>
      </c>
      <c r="B13" s="40">
        <f>COUNTIFS(準備リスト!$D$5:$D$119,$A13,準備リスト!$I$5:$I$119,"完了")</f>
        <v/>
      </c>
      <c r="C13" s="40">
        <f>COUNTIF(準備リスト!$D$5:$D$119,$A13)-B13</f>
        <v/>
      </c>
      <c r="D13" s="57">
        <f>B13+C13</f>
        <v/>
      </c>
      <c r="F13" s="58" t="inlineStr">
        <is>
          <t>I 当日の運営</t>
        </is>
      </c>
      <c r="G13" s="40">
        <f>COUNTIFS(準備リスト!$E$5:$E$119,$F13,準備リスト!$I$5:$I$119,"完了")</f>
        <v/>
      </c>
      <c r="H13" s="40">
        <f>COUNTIF(準備リスト!$E$5:$E$119,$F13)-G13</f>
        <v/>
      </c>
      <c r="I13" s="57">
        <f>G13+H13</f>
        <v/>
      </c>
    </row>
    <row r="14">
      <c r="A14" s="39" t="inlineStr">
        <is>
          <t>1週前</t>
        </is>
      </c>
      <c r="B14" s="40">
        <f>COUNTIFS(準備リスト!$D$5:$D$119,$A14,準備リスト!$I$5:$I$119,"完了")</f>
        <v/>
      </c>
      <c r="C14" s="40">
        <f>COUNTIF(準備リスト!$D$5:$D$119,$A14)-B14</f>
        <v/>
      </c>
      <c r="D14" s="57">
        <f>B14+C14</f>
        <v/>
      </c>
      <c r="F14" s="58" t="inlineStr">
        <is>
          <t>J 終わったあと</t>
        </is>
      </c>
      <c r="G14" s="40">
        <f>COUNTIFS(準備リスト!$E$5:$E$119,$F14,準備リスト!$I$5:$I$119,"完了")</f>
        <v/>
      </c>
      <c r="H14" s="40">
        <f>COUNTIF(準備リスト!$E$5:$E$119,$F14)-G14</f>
        <v/>
      </c>
      <c r="I14" s="57">
        <f>G14+H14</f>
        <v/>
      </c>
    </row>
    <row r="15">
      <c r="A15" s="39" t="inlineStr">
        <is>
          <t>前日</t>
        </is>
      </c>
      <c r="B15" s="40">
        <f>COUNTIFS(準備リスト!$D$5:$D$119,$A15,準備リスト!$I$5:$I$119,"完了")</f>
        <v/>
      </c>
      <c r="C15" s="40">
        <f>COUNTIF(準備リスト!$D$5:$D$119,$A15)-B15</f>
        <v/>
      </c>
      <c r="D15" s="57">
        <f>B15+C15</f>
        <v/>
      </c>
      <c r="F15" s="58" t="inlineStr">
        <is>
          <t>K 体験・展示コーナーの準備</t>
        </is>
      </c>
      <c r="G15" s="40">
        <f>COUNTIFS(準備リスト!$E$5:$E$119,$F15,準備リスト!$I$5:$I$119,"完了")</f>
        <v/>
      </c>
      <c r="H15" s="40">
        <f>COUNTIF(準備リスト!$E$5:$E$119,$F15)-G15</f>
        <v/>
      </c>
      <c r="I15" s="57">
        <f>G15+H15</f>
        <v/>
      </c>
    </row>
    <row r="16">
      <c r="A16" s="39" t="inlineStr">
        <is>
          <t>当日</t>
        </is>
      </c>
      <c r="B16" s="40">
        <f>COUNTIFS(準備リスト!$D$5:$D$119,$A16,準備リスト!$I$5:$I$119,"完了")</f>
        <v/>
      </c>
      <c r="C16" s="40">
        <f>COUNTIF(準備リスト!$D$5:$D$119,$A16)-B16</f>
        <v/>
      </c>
      <c r="D16" s="57">
        <f>B16+C16</f>
        <v/>
      </c>
    </row>
    <row r="17">
      <c r="A17" s="39" t="inlineStr">
        <is>
          <t>当日中</t>
        </is>
      </c>
      <c r="B17" s="40">
        <f>COUNTIFS(準備リスト!$D$5:$D$119,$A17,準備リスト!$I$5:$I$119,"完了")</f>
        <v/>
      </c>
      <c r="C17" s="40">
        <f>COUNTIF(準備リスト!$D$5:$D$119,$A17)-B17</f>
        <v/>
      </c>
      <c r="D17" s="57">
        <f>B17+C17</f>
        <v/>
      </c>
      <c r="F17" s="59" t="inlineStr">
        <is>
          <t>全体</t>
        </is>
      </c>
      <c r="G17" s="60">
        <f>SUM(G5:G15)</f>
        <v/>
      </c>
      <c r="H17" s="30">
        <f>SUM(H5:H15)</f>
        <v/>
      </c>
      <c r="I17" s="45">
        <f>SUM(I5:I15)</f>
        <v/>
      </c>
    </row>
    <row r="18">
      <c r="A18" s="39" t="inlineStr">
        <is>
          <t>3日以内</t>
        </is>
      </c>
      <c r="B18" s="40">
        <f>COUNTIFS(準備リスト!$D$5:$D$119,$A18,準備リスト!$I$5:$I$119,"完了")</f>
        <v/>
      </c>
      <c r="C18" s="40">
        <f>COUNTIF(準備リスト!$D$5:$D$119,$A18)-B18</f>
        <v/>
      </c>
      <c r="D18" s="57">
        <f>B18+C18</f>
        <v/>
      </c>
      <c r="F18" s="4" t="inlineStr">
        <is>
          <t>進み具合</t>
        </is>
      </c>
      <c r="G18" s="61">
        <f>IF(I17=0,0,G17/I17)</f>
        <v/>
      </c>
      <c r="H18" s="23" t="n"/>
      <c r="I18" s="23" t="n"/>
    </row>
    <row r="19">
      <c r="A19" s="39" t="inlineStr">
        <is>
          <t>1週以内</t>
        </is>
      </c>
      <c r="B19" s="40">
        <f>COUNTIFS(準備リスト!$D$5:$D$119,$A19,準備リスト!$I$5:$I$119,"完了")</f>
        <v/>
      </c>
      <c r="C19" s="40">
        <f>COUNTIF(準備リスト!$D$5:$D$119,$A19)-B19</f>
        <v/>
      </c>
      <c r="D19" s="57">
        <f>B19+C19</f>
        <v/>
      </c>
    </row>
    <row r="20">
      <c r="A20" s="39" t="inlineStr">
        <is>
          <t>2週以内</t>
        </is>
      </c>
      <c r="B20" s="40">
        <f>COUNTIFS(準備リスト!$D$5:$D$119,$A20,準備リスト!$I$5:$I$119,"完了")</f>
        <v/>
      </c>
      <c r="C20" s="40">
        <f>COUNTIF(準備リスト!$D$5:$D$119,$A20)-B20</f>
        <v/>
      </c>
      <c r="D20" s="57">
        <f>B20+C20</f>
        <v/>
      </c>
    </row>
    <row r="62" ht="30" customHeight="1">
      <c r="A62" s="18" t="inlineStr">
        <is>
          <t>濃い緑＝完了、うすい緑＝残りです。いまは全部「未着手」なので、うすい緑だけのグラフになります。「準備リスト」の状況を「完了」にしていくと、下から緑が伸びていきます。棒が高い時期ほど、その週にやることが多いという意味です。人手を厚くする週を決めるときに使ってください。</t>
        </is>
      </c>
    </row>
    <row r="63"/>
    <row r="64"/>
  </sheetData>
  <mergeCells count="1">
    <mergeCell ref="A62:I64"/>
  </mergeCells>
  <pageMargins left="0.75" right="0.75" top="1" bottom="1" header="0.5" footer="0.5"/>
  <pageSetup orientation="landscape" paperSize="9" fitToHeight="0" fitToWidth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2026-09-15T06:21:52Z</dcterms:created>
  <dcterms:modified xmlns:dcterms="http://purl.org/dc/terms/" xmlns:xsi="http://www.w3.org/2001/XMLSchema-instance" xsi:type="dcterms:W3CDTF">2026-09-15T06:21:53Z</dcterms:modified>
</cp:coreProperties>
</file>